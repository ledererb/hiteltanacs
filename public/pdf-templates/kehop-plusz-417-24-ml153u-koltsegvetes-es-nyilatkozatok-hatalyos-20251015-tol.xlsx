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info\SynologyDrive\Otthon Projekt\Új KEHOP\kitöltendő doksik\"/>
    </mc:Choice>
  </mc:AlternateContent>
  <xr:revisionPtr revIDLastSave="0" documentId="13_ncr:1_{8C810912-5869-4999-8E69-6E80A150740F}" xr6:coauthVersionLast="47" xr6:coauthVersionMax="47" xr10:uidLastSave="{00000000-0000-0000-0000-000000000000}"/>
  <bookViews>
    <workbookView xWindow="-110" yWindow="-110" windowWidth="19420" windowHeight="12220" tabRatio="905" activeTab="2" xr2:uid="{00000000-000D-0000-FFFF-FFFF00000000}"/>
  </bookViews>
  <sheets>
    <sheet name="Kitöltési útmutató" sheetId="12" r:id="rId1"/>
    <sheet name="01_Költségvetés" sheetId="25" r:id="rId2"/>
    <sheet name="02_Vállalkozási szerződés1" sheetId="26" r:id="rId3"/>
    <sheet name="02_Vállalkozási szerződés2 " sheetId="31" r:id="rId4"/>
    <sheet name="02_Vállalkozási szerződés3" sheetId="32" r:id="rId5"/>
    <sheet name="02_Vállalkozási szerződés4" sheetId="33" r:id="rId6"/>
    <sheet name="03_Saját beszerzés" sheetId="30" r:id="rId7"/>
    <sheet name="érv" sheetId="18" state="hidden" r:id="rId8"/>
  </sheets>
  <definedNames>
    <definedName name="igenylo_neve">#REF!</definedName>
    <definedName name="_xlnm.Print_Titles" localSheetId="1">'01_Költségvetés'!$10:$11</definedName>
    <definedName name="_xlnm.Print_Titles" localSheetId="6">'03_Saját beszerzés'!$7:$8</definedName>
    <definedName name="_xlnm.Print_Area" localSheetId="1">'01_Költségvetés'!$B$1:$R$81</definedName>
    <definedName name="_xlnm.Print_Area" localSheetId="2">'02_Vállalkozási szerződés1'!$A$1:$L$117</definedName>
    <definedName name="_xlnm.Print_Area" localSheetId="3">'02_Vállalkozási szerződés2 '!$B$1:$M$118</definedName>
    <definedName name="_xlnm.Print_Area" localSheetId="4">'02_Vállalkozási szerződés3'!$B$1:$M$118</definedName>
    <definedName name="_xlnm.Print_Area" localSheetId="5">'02_Vállalkozási szerződés4'!$B$1:$L$118</definedName>
    <definedName name="_xlnm.Print_Area" localSheetId="6">'03_Saját beszerzés'!$B$1:$L$68</definedName>
    <definedName name="_xlnm.Print_Area" localSheetId="0">'Kitöltési útmutató'!$A$1:$B$43</definedName>
    <definedName name="Z_396A034F_45B2_4D1D_91F6_7C5931F382F0_.wvu.Cols" localSheetId="1" hidden="1">'01_Költségvetés'!$S:$XFD</definedName>
    <definedName name="Z_396A034F_45B2_4D1D_91F6_7C5931F382F0_.wvu.Cols" localSheetId="2" hidden="1">'02_Vállalkozási szerződés1'!#REF!</definedName>
    <definedName name="Z_396A034F_45B2_4D1D_91F6_7C5931F382F0_.wvu.Cols" localSheetId="3" hidden="1">'02_Vállalkozási szerződés2 '!#REF!</definedName>
    <definedName name="Z_396A034F_45B2_4D1D_91F6_7C5931F382F0_.wvu.Cols" localSheetId="4" hidden="1">'02_Vállalkozási szerződés3'!#REF!</definedName>
    <definedName name="Z_396A034F_45B2_4D1D_91F6_7C5931F382F0_.wvu.Cols" localSheetId="5" hidden="1">'02_Vállalkozási szerződés4'!#REF!</definedName>
    <definedName name="Z_396A034F_45B2_4D1D_91F6_7C5931F382F0_.wvu.Cols" localSheetId="6" hidden="1">'03_Saját beszerzés'!$N:$XFD</definedName>
    <definedName name="Z_396A034F_45B2_4D1D_91F6_7C5931F382F0_.wvu.PrintArea" localSheetId="1" hidden="1">'01_Költségvetés'!$B$1:$Q$81</definedName>
    <definedName name="Z_396A034F_45B2_4D1D_91F6_7C5931F382F0_.wvu.PrintArea" localSheetId="2" hidden="1">'02_Vállalkozási szerződés1'!$B$1:$L$104</definedName>
    <definedName name="Z_396A034F_45B2_4D1D_91F6_7C5931F382F0_.wvu.PrintArea" localSheetId="3" hidden="1">'02_Vállalkozási szerződés2 '!$B$1:$L$105</definedName>
    <definedName name="Z_396A034F_45B2_4D1D_91F6_7C5931F382F0_.wvu.PrintArea" localSheetId="4" hidden="1">'02_Vállalkozási szerződés3'!$B$1:$L$105</definedName>
    <definedName name="Z_396A034F_45B2_4D1D_91F6_7C5931F382F0_.wvu.PrintArea" localSheetId="5" hidden="1">'02_Vállalkozási szerződés4'!$B$1:$L$105</definedName>
    <definedName name="Z_396A034F_45B2_4D1D_91F6_7C5931F382F0_.wvu.PrintArea" localSheetId="6" hidden="1">'03_Saját beszerzés'!$B$1:$L$60</definedName>
    <definedName name="Z_396A034F_45B2_4D1D_91F6_7C5931F382F0_.wvu.PrintArea" localSheetId="0" hidden="1">'Kitöltési útmutató'!$A$8:$B$15</definedName>
    <definedName name="Z_396A034F_45B2_4D1D_91F6_7C5931F382F0_.wvu.PrintTitles" localSheetId="1" hidden="1">'01_Költségvetés'!$1:$5</definedName>
    <definedName name="Z_396A034F_45B2_4D1D_91F6_7C5931F382F0_.wvu.PrintTitles" localSheetId="2" hidden="1">'02_Vállalkozási szerződés1'!$1:$3</definedName>
    <definedName name="Z_396A034F_45B2_4D1D_91F6_7C5931F382F0_.wvu.PrintTitles" localSheetId="3" hidden="1">'02_Vállalkozási szerződés2 '!$1:$3</definedName>
    <definedName name="Z_396A034F_45B2_4D1D_91F6_7C5931F382F0_.wvu.PrintTitles" localSheetId="4" hidden="1">'02_Vállalkozási szerződés3'!$1:$3</definedName>
    <definedName name="Z_396A034F_45B2_4D1D_91F6_7C5931F382F0_.wvu.PrintTitles" localSheetId="5" hidden="1">'02_Vállalkozási szerződés4'!$1:$3</definedName>
    <definedName name="Z_396A034F_45B2_4D1D_91F6_7C5931F382F0_.wvu.PrintTitles" localSheetId="6" hidden="1">'03_Saját beszerzés'!$1:$4</definedName>
    <definedName name="Z_396A034F_45B2_4D1D_91F6_7C5931F382F0_.wvu.Rows" localSheetId="1" hidden="1">'01_Költségvetés'!$82:$1048576,'01_Költségvetés'!#REF!</definedName>
    <definedName name="Z_396A034F_45B2_4D1D_91F6_7C5931F382F0_.wvu.Rows" localSheetId="2" hidden="1">'02_Vállalkozási szerződés1'!$105:$1048576,'02_Vállalkozási szerződés1'!#REF!</definedName>
    <definedName name="Z_396A034F_45B2_4D1D_91F6_7C5931F382F0_.wvu.Rows" localSheetId="3" hidden="1">'02_Vállalkozási szerződés2 '!$106:$1048576,'02_Vállalkozási szerződés2 '!#REF!</definedName>
    <definedName name="Z_396A034F_45B2_4D1D_91F6_7C5931F382F0_.wvu.Rows" localSheetId="4" hidden="1">'02_Vállalkozási szerződés3'!$106:$1048576,'02_Vállalkozási szerződés3'!#REF!</definedName>
    <definedName name="Z_396A034F_45B2_4D1D_91F6_7C5931F382F0_.wvu.Rows" localSheetId="5" hidden="1">'02_Vállalkozási szerződés4'!$106:$1048576,'02_Vállalkozási szerződés4'!#REF!</definedName>
    <definedName name="Z_396A034F_45B2_4D1D_91F6_7C5931F382F0_.wvu.Rows" localSheetId="6" hidden="1">'03_Saját beszerzés'!$61:$1048576,'03_Saját beszerzés'!#REF!</definedName>
  </definedNames>
  <calcPr calcId="191029"/>
  <customWorkbookViews>
    <customWorkbookView name="Nyomtatási" guid="{396A034F-45B2-4D1D-91F6-7C5931F382F0}" windowWidth="1920" windowHeight="1032" tabRatio="905" activeSheetId="2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1" i="30" l="1"/>
  <c r="L18" i="30"/>
  <c r="L81" i="26"/>
  <c r="L73" i="26"/>
  <c r="L50" i="26"/>
  <c r="L47" i="32"/>
  <c r="L47" i="33"/>
  <c r="L47" i="31"/>
  <c r="L46" i="26"/>
  <c r="E16" i="30"/>
  <c r="E17" i="30"/>
  <c r="E18" i="30"/>
  <c r="E19" i="30"/>
  <c r="E20" i="30"/>
  <c r="E21" i="30"/>
  <c r="E22" i="30"/>
  <c r="E23" i="30"/>
  <c r="E24" i="30"/>
  <c r="E25" i="30"/>
  <c r="E26" i="30"/>
  <c r="E27" i="30"/>
  <c r="E28" i="30"/>
  <c r="K68" i="33"/>
  <c r="K68" i="32"/>
  <c r="K68" i="31"/>
  <c r="O5" i="25"/>
  <c r="P4" i="25"/>
  <c r="G19" i="25"/>
  <c r="H19" i="25"/>
  <c r="M19" i="25" s="1"/>
  <c r="I19" i="25"/>
  <c r="J19" i="25"/>
  <c r="N19" i="25" s="1"/>
  <c r="G20" i="25"/>
  <c r="H20" i="25"/>
  <c r="M20" i="25" s="1"/>
  <c r="I20" i="25"/>
  <c r="J20" i="25"/>
  <c r="N20" i="25" s="1"/>
  <c r="G48" i="25"/>
  <c r="H48" i="25"/>
  <c r="M48" i="25" s="1"/>
  <c r="I48" i="25"/>
  <c r="J48" i="25"/>
  <c r="N48" i="25" s="1"/>
  <c r="G49" i="25"/>
  <c r="H49" i="25"/>
  <c r="M49" i="25" s="1"/>
  <c r="I49" i="25"/>
  <c r="J49" i="25"/>
  <c r="N49" i="25" s="1"/>
  <c r="G50" i="25"/>
  <c r="H50" i="25"/>
  <c r="M50" i="25" s="1"/>
  <c r="I50" i="25"/>
  <c r="J50" i="25"/>
  <c r="N50" i="25" s="1"/>
  <c r="G51" i="25"/>
  <c r="H51" i="25"/>
  <c r="M51" i="25" s="1"/>
  <c r="I51" i="25"/>
  <c r="J51" i="25"/>
  <c r="N51" i="25" s="1"/>
  <c r="K45" i="30"/>
  <c r="K46" i="30"/>
  <c r="K47" i="30"/>
  <c r="K48" i="30"/>
  <c r="E45" i="30"/>
  <c r="E46" i="30"/>
  <c r="E47" i="30"/>
  <c r="E48" i="30"/>
  <c r="K16" i="30"/>
  <c r="K17" i="30"/>
  <c r="K77" i="26"/>
  <c r="K78" i="26"/>
  <c r="K79" i="26"/>
  <c r="K80" i="26"/>
  <c r="K78" i="32"/>
  <c r="K79" i="32"/>
  <c r="K80" i="32"/>
  <c r="K81" i="32"/>
  <c r="K78" i="33"/>
  <c r="K79" i="33"/>
  <c r="K80" i="33"/>
  <c r="K81" i="33"/>
  <c r="K78" i="31"/>
  <c r="K79" i="31"/>
  <c r="K80" i="31"/>
  <c r="K81" i="31"/>
  <c r="K49" i="31"/>
  <c r="K50" i="31"/>
  <c r="K49" i="32"/>
  <c r="K50" i="32"/>
  <c r="K49" i="33"/>
  <c r="K50" i="33"/>
  <c r="K48" i="26"/>
  <c r="K49" i="26"/>
  <c r="G26" i="25"/>
  <c r="E50" i="30"/>
  <c r="E49" i="30"/>
  <c r="E44" i="30"/>
  <c r="E43" i="30"/>
  <c r="E42" i="30"/>
  <c r="E41" i="30"/>
  <c r="E40" i="30"/>
  <c r="E39" i="30"/>
  <c r="E38" i="30"/>
  <c r="E37" i="30"/>
  <c r="E36" i="30"/>
  <c r="E35" i="30"/>
  <c r="E34" i="30"/>
  <c r="E33" i="30"/>
  <c r="E32" i="30"/>
  <c r="E31" i="30"/>
  <c r="E30" i="30"/>
  <c r="E29" i="30"/>
  <c r="E18" i="31" a="1"/>
  <c r="E18" i="31" s="1"/>
  <c r="C24" i="33"/>
  <c r="C24" i="32"/>
  <c r="C24" i="31"/>
  <c r="C24" i="26"/>
  <c r="I12" i="25"/>
  <c r="K61" i="25"/>
  <c r="I61" i="25"/>
  <c r="J18" i="25"/>
  <c r="N18" i="25" s="1"/>
  <c r="J21" i="25"/>
  <c r="N21" i="25" s="1"/>
  <c r="J22" i="25"/>
  <c r="N22" i="25" s="1"/>
  <c r="J23" i="25"/>
  <c r="N23" i="25" s="1"/>
  <c r="J24" i="25"/>
  <c r="N24" i="25" s="1"/>
  <c r="J25" i="25"/>
  <c r="N25" i="25" s="1"/>
  <c r="J26" i="25"/>
  <c r="N26" i="25" s="1"/>
  <c r="J27" i="25"/>
  <c r="N27" i="25" s="1"/>
  <c r="J28" i="25"/>
  <c r="N28" i="25" s="1"/>
  <c r="J29" i="25"/>
  <c r="N29" i="25" s="1"/>
  <c r="J30" i="25"/>
  <c r="N30" i="25" s="1"/>
  <c r="J31" i="25"/>
  <c r="N31" i="25" s="1"/>
  <c r="J32" i="25"/>
  <c r="N32" i="25" s="1"/>
  <c r="J33" i="25"/>
  <c r="N33" i="25" s="1"/>
  <c r="J34" i="25"/>
  <c r="N34" i="25" s="1"/>
  <c r="J35" i="25"/>
  <c r="N35" i="25" s="1"/>
  <c r="J36" i="25"/>
  <c r="N36" i="25" s="1"/>
  <c r="J37" i="25"/>
  <c r="N37" i="25" s="1"/>
  <c r="J38" i="25"/>
  <c r="N38" i="25" s="1"/>
  <c r="J39" i="25"/>
  <c r="N39" i="25" s="1"/>
  <c r="J40" i="25"/>
  <c r="N40" i="25" s="1"/>
  <c r="J41" i="25"/>
  <c r="N41" i="25" s="1"/>
  <c r="J42" i="25"/>
  <c r="N42" i="25" s="1"/>
  <c r="J43" i="25"/>
  <c r="N43" i="25" s="1"/>
  <c r="J44" i="25"/>
  <c r="N44" i="25" s="1"/>
  <c r="J45" i="25"/>
  <c r="N45" i="25" s="1"/>
  <c r="J46" i="25"/>
  <c r="N46" i="25" s="1"/>
  <c r="J47" i="25"/>
  <c r="N47" i="25" s="1"/>
  <c r="J52" i="25"/>
  <c r="N52" i="25" s="1"/>
  <c r="J53" i="25"/>
  <c r="N53" i="25" s="1"/>
  <c r="J54" i="25"/>
  <c r="N54" i="25" s="1"/>
  <c r="J55" i="25"/>
  <c r="N55" i="25" s="1"/>
  <c r="J17" i="25"/>
  <c r="N17" i="25" s="1"/>
  <c r="I18" i="25"/>
  <c r="I21" i="25"/>
  <c r="I22" i="25"/>
  <c r="I23" i="25"/>
  <c r="I24" i="25"/>
  <c r="I25" i="25"/>
  <c r="I26" i="25"/>
  <c r="I27" i="25"/>
  <c r="I28" i="25"/>
  <c r="I29" i="25"/>
  <c r="I30" i="25"/>
  <c r="I31" i="25"/>
  <c r="I32" i="25"/>
  <c r="I33" i="25"/>
  <c r="I34" i="25"/>
  <c r="I35" i="25"/>
  <c r="I36" i="25"/>
  <c r="I37" i="25"/>
  <c r="I38" i="25"/>
  <c r="I39" i="25"/>
  <c r="I40" i="25"/>
  <c r="I41" i="25"/>
  <c r="I42" i="25"/>
  <c r="I43" i="25"/>
  <c r="I44" i="25"/>
  <c r="I45" i="25"/>
  <c r="I46" i="25"/>
  <c r="I47" i="25"/>
  <c r="I52" i="25"/>
  <c r="I53" i="25"/>
  <c r="I54" i="25"/>
  <c r="I55" i="25"/>
  <c r="I17" i="25"/>
  <c r="H18" i="25"/>
  <c r="M18" i="25" s="1"/>
  <c r="H21" i="25"/>
  <c r="M21" i="25" s="1"/>
  <c r="H22" i="25"/>
  <c r="M22" i="25" s="1"/>
  <c r="H23" i="25"/>
  <c r="M23" i="25" s="1"/>
  <c r="H24" i="25"/>
  <c r="M24" i="25" s="1"/>
  <c r="H25" i="25"/>
  <c r="M25" i="25" s="1"/>
  <c r="H26" i="25"/>
  <c r="M26" i="25" s="1"/>
  <c r="H27" i="25"/>
  <c r="M27" i="25" s="1"/>
  <c r="H28" i="25"/>
  <c r="M28" i="25" s="1"/>
  <c r="H29" i="25"/>
  <c r="M29" i="25" s="1"/>
  <c r="H30" i="25"/>
  <c r="M30" i="25" s="1"/>
  <c r="H31" i="25"/>
  <c r="M31" i="25" s="1"/>
  <c r="H32" i="25"/>
  <c r="M32" i="25" s="1"/>
  <c r="H33" i="25"/>
  <c r="M33" i="25" s="1"/>
  <c r="H34" i="25"/>
  <c r="M34" i="25" s="1"/>
  <c r="H35" i="25"/>
  <c r="M35" i="25" s="1"/>
  <c r="H36" i="25"/>
  <c r="M36" i="25" s="1"/>
  <c r="H37" i="25"/>
  <c r="M37" i="25" s="1"/>
  <c r="H38" i="25"/>
  <c r="M38" i="25" s="1"/>
  <c r="H39" i="25"/>
  <c r="M39" i="25" s="1"/>
  <c r="H40" i="25"/>
  <c r="M40" i="25" s="1"/>
  <c r="H41" i="25"/>
  <c r="M41" i="25" s="1"/>
  <c r="H42" i="25"/>
  <c r="M42" i="25" s="1"/>
  <c r="H43" i="25"/>
  <c r="M43" i="25" s="1"/>
  <c r="H44" i="25"/>
  <c r="M44" i="25" s="1"/>
  <c r="H45" i="25"/>
  <c r="M45" i="25" s="1"/>
  <c r="H46" i="25"/>
  <c r="M46" i="25" s="1"/>
  <c r="H47" i="25"/>
  <c r="M47" i="25" s="1"/>
  <c r="H52" i="25"/>
  <c r="M52" i="25" s="1"/>
  <c r="H53" i="25"/>
  <c r="M53" i="25" s="1"/>
  <c r="H54" i="25"/>
  <c r="M54" i="25" s="1"/>
  <c r="H55" i="25"/>
  <c r="M55" i="25" s="1"/>
  <c r="G18" i="25"/>
  <c r="G21" i="25"/>
  <c r="G22" i="25"/>
  <c r="G23" i="25"/>
  <c r="G24" i="25"/>
  <c r="G25" i="25"/>
  <c r="G27" i="25"/>
  <c r="G28" i="25"/>
  <c r="G29" i="25"/>
  <c r="G30" i="25"/>
  <c r="G31" i="25"/>
  <c r="G32" i="25"/>
  <c r="G33" i="25"/>
  <c r="G34" i="25"/>
  <c r="G35" i="25"/>
  <c r="G36" i="25"/>
  <c r="G37" i="25"/>
  <c r="G38" i="25"/>
  <c r="G39" i="25"/>
  <c r="G40" i="25"/>
  <c r="G41" i="25"/>
  <c r="G42" i="25"/>
  <c r="G43" i="25"/>
  <c r="G44" i="25"/>
  <c r="G45" i="25"/>
  <c r="G46" i="25"/>
  <c r="G47" i="25"/>
  <c r="G52" i="25"/>
  <c r="G53" i="25"/>
  <c r="G54" i="25"/>
  <c r="G55" i="25"/>
  <c r="H17" i="25"/>
  <c r="M17" i="25" s="1"/>
  <c r="G17" i="25"/>
  <c r="K85" i="33"/>
  <c r="K84" i="33"/>
  <c r="K83" i="33"/>
  <c r="K82" i="33"/>
  <c r="K77" i="33"/>
  <c r="K76" i="33"/>
  <c r="K75" i="33"/>
  <c r="K74" i="33"/>
  <c r="K73" i="33"/>
  <c r="K72" i="33"/>
  <c r="K71" i="33"/>
  <c r="K70" i="33"/>
  <c r="K69" i="33"/>
  <c r="K67" i="33"/>
  <c r="K66" i="33"/>
  <c r="K65" i="33"/>
  <c r="K64" i="33"/>
  <c r="K63" i="33"/>
  <c r="K62" i="33"/>
  <c r="K61" i="33"/>
  <c r="K60" i="33"/>
  <c r="K59" i="33"/>
  <c r="K58" i="33"/>
  <c r="K57" i="33"/>
  <c r="K56" i="33"/>
  <c r="K55" i="33"/>
  <c r="K54" i="33"/>
  <c r="K53" i="33"/>
  <c r="K52" i="33"/>
  <c r="K51" i="33"/>
  <c r="K48" i="33"/>
  <c r="K47" i="33"/>
  <c r="H109" i="33"/>
  <c r="E18" i="33" a="1"/>
  <c r="E18" i="33" s="1"/>
  <c r="E4" i="33" a="1"/>
  <c r="E4" i="33" s="1"/>
  <c r="C109" i="33" s="1"/>
  <c r="L1" i="33"/>
  <c r="K85" i="32"/>
  <c r="K84" i="32"/>
  <c r="K83" i="32"/>
  <c r="K82" i="32"/>
  <c r="K77" i="32"/>
  <c r="K76" i="32"/>
  <c r="K75" i="32"/>
  <c r="K74" i="32"/>
  <c r="K73" i="32"/>
  <c r="K72" i="32"/>
  <c r="K71" i="32"/>
  <c r="K70" i="32"/>
  <c r="K69" i="32"/>
  <c r="K67" i="32"/>
  <c r="K66" i="32"/>
  <c r="K65" i="32"/>
  <c r="K64" i="32"/>
  <c r="K63" i="32"/>
  <c r="K62" i="32"/>
  <c r="K61" i="32"/>
  <c r="K60" i="32"/>
  <c r="K59" i="32"/>
  <c r="K58" i="32"/>
  <c r="K57" i="32"/>
  <c r="K56" i="32"/>
  <c r="K55" i="32"/>
  <c r="K54" i="32"/>
  <c r="K53" i="32"/>
  <c r="K52" i="32"/>
  <c r="K51" i="32"/>
  <c r="K48" i="32"/>
  <c r="K47" i="32"/>
  <c r="H109" i="32"/>
  <c r="E18" i="32" a="1"/>
  <c r="E18" i="32" s="1"/>
  <c r="E4" i="32" a="1"/>
  <c r="E4" i="32" s="1"/>
  <c r="C109" i="32" s="1"/>
  <c r="L1" i="32"/>
  <c r="K85" i="31"/>
  <c r="K84" i="31"/>
  <c r="K83" i="31"/>
  <c r="K82" i="31"/>
  <c r="K77" i="31"/>
  <c r="K76" i="31"/>
  <c r="K75" i="31"/>
  <c r="K74" i="31"/>
  <c r="K73" i="31"/>
  <c r="K72" i="31"/>
  <c r="K71" i="31"/>
  <c r="K70" i="31"/>
  <c r="K69" i="31"/>
  <c r="K67" i="31"/>
  <c r="K66" i="31"/>
  <c r="K65" i="31"/>
  <c r="K64" i="31"/>
  <c r="K63" i="31"/>
  <c r="K62" i="31"/>
  <c r="K61" i="31"/>
  <c r="K60" i="31"/>
  <c r="K59" i="31"/>
  <c r="K58" i="31"/>
  <c r="K57" i="31"/>
  <c r="K56" i="31"/>
  <c r="K55" i="31"/>
  <c r="K54" i="31"/>
  <c r="K53" i="31"/>
  <c r="K52" i="31"/>
  <c r="K51" i="31"/>
  <c r="K48" i="31"/>
  <c r="K47" i="31"/>
  <c r="H109" i="31"/>
  <c r="E4" i="31" a="1"/>
  <c r="E4" i="31" s="1"/>
  <c r="C109" i="31" s="1"/>
  <c r="L1" i="31"/>
  <c r="L74" i="33" l="1"/>
  <c r="L74" i="32"/>
  <c r="N16" i="25"/>
  <c r="K51" i="25"/>
  <c r="S51" i="25" s="1"/>
  <c r="L74" i="31"/>
  <c r="K49" i="25"/>
  <c r="S49" i="25" s="1"/>
  <c r="K48" i="25"/>
  <c r="S48" i="25" s="1"/>
  <c r="K20" i="25"/>
  <c r="S20" i="25" s="1"/>
  <c r="K19" i="25"/>
  <c r="S19" i="25" s="1"/>
  <c r="O17" i="25"/>
  <c r="K50" i="25"/>
  <c r="XFD48" i="25"/>
  <c r="XFD44" i="25"/>
  <c r="O52" i="25"/>
  <c r="N15" i="25"/>
  <c r="O21" i="25"/>
  <c r="O54" i="25"/>
  <c r="L82" i="33"/>
  <c r="L84" i="31"/>
  <c r="L82" i="32"/>
  <c r="L84" i="32"/>
  <c r="L82" i="31"/>
  <c r="K86" i="33"/>
  <c r="K89" i="33" s="1"/>
  <c r="C26" i="33" s="1"/>
  <c r="C25" i="33" s="1"/>
  <c r="L84" i="33"/>
  <c r="L51" i="32"/>
  <c r="K86" i="32"/>
  <c r="K89" i="32" s="1"/>
  <c r="C26" i="32" s="1"/>
  <c r="C25" i="32" s="1"/>
  <c r="K86" i="31"/>
  <c r="K89" i="31" s="1"/>
  <c r="C26" i="31" s="1"/>
  <c r="C25" i="31" s="1"/>
  <c r="L51" i="31"/>
  <c r="L51" i="33"/>
  <c r="I63" i="30"/>
  <c r="S50" i="25" l="1"/>
  <c r="M16" i="25"/>
  <c r="M15" i="25"/>
  <c r="O15" i="25" s="1"/>
  <c r="O7" i="25"/>
  <c r="O44" i="25"/>
  <c r="L3" i="30" l="1"/>
  <c r="L1" i="26"/>
  <c r="D5" i="30" a="1"/>
  <c r="D5" i="30" s="1"/>
  <c r="D4" i="30" a="1"/>
  <c r="D4" i="30" s="1"/>
  <c r="E4" i="26" a="1"/>
  <c r="E4" i="26" s="1"/>
  <c r="C108" i="26" s="1"/>
  <c r="I56" i="25"/>
  <c r="J56" i="25"/>
  <c r="I57" i="25"/>
  <c r="J57" i="25"/>
  <c r="N57" i="25" s="1"/>
  <c r="I58" i="25"/>
  <c r="J58" i="25"/>
  <c r="J14" i="25"/>
  <c r="K14" i="25" s="1"/>
  <c r="I14" i="25"/>
  <c r="J13" i="25"/>
  <c r="I13" i="25"/>
  <c r="J12" i="25"/>
  <c r="K55" i="30"/>
  <c r="K54" i="30"/>
  <c r="K53" i="30"/>
  <c r="K52" i="30"/>
  <c r="K51" i="30"/>
  <c r="K50" i="30"/>
  <c r="K49"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5" i="30"/>
  <c r="K14" i="30"/>
  <c r="K11" i="30"/>
  <c r="K10" i="30"/>
  <c r="K9" i="30"/>
  <c r="E18" i="26" a="1"/>
  <c r="E18" i="26" s="1"/>
  <c r="H108" i="26"/>
  <c r="K84" i="26"/>
  <c r="K83" i="26"/>
  <c r="K82" i="26"/>
  <c r="K81" i="26"/>
  <c r="K76" i="26"/>
  <c r="K75" i="26"/>
  <c r="K74" i="26"/>
  <c r="K73" i="26"/>
  <c r="K72" i="26"/>
  <c r="K71" i="26"/>
  <c r="K70" i="26"/>
  <c r="K69" i="26"/>
  <c r="K68" i="26"/>
  <c r="K67" i="26"/>
  <c r="K66" i="26"/>
  <c r="K65" i="26"/>
  <c r="K64" i="26"/>
  <c r="K63" i="26"/>
  <c r="K62" i="26"/>
  <c r="K61" i="26"/>
  <c r="K60" i="26"/>
  <c r="K59" i="26"/>
  <c r="K58" i="26"/>
  <c r="K57" i="26"/>
  <c r="K56" i="26"/>
  <c r="K55" i="26"/>
  <c r="K54" i="26"/>
  <c r="K53" i="26"/>
  <c r="K52" i="26"/>
  <c r="K51" i="26"/>
  <c r="K50" i="26"/>
  <c r="K47" i="26"/>
  <c r="K46" i="26"/>
  <c r="K76" i="25"/>
  <c r="M61" i="25"/>
  <c r="L14" i="30" l="1"/>
  <c r="L83" i="26"/>
  <c r="K58" i="25"/>
  <c r="K12" i="25"/>
  <c r="K85" i="26"/>
  <c r="K88" i="26" s="1"/>
  <c r="C26" i="26" s="1"/>
  <c r="C25" i="26" s="1"/>
  <c r="K13" i="25"/>
  <c r="K52" i="25"/>
  <c r="S52" i="25" s="1"/>
  <c r="K37" i="25"/>
  <c r="S37" i="25" s="1"/>
  <c r="K29" i="25"/>
  <c r="S29" i="25" s="1"/>
  <c r="K25" i="25"/>
  <c r="S25" i="25" s="1"/>
  <c r="K54" i="25"/>
  <c r="S54" i="25" s="1"/>
  <c r="K26" i="25"/>
  <c r="S26" i="25" s="1"/>
  <c r="K46" i="25"/>
  <c r="S46" i="25" s="1"/>
  <c r="K44" i="25"/>
  <c r="S44" i="25" s="1"/>
  <c r="K42" i="25"/>
  <c r="S42" i="25" s="1"/>
  <c r="K40" i="25"/>
  <c r="S40" i="25" s="1"/>
  <c r="K35" i="25"/>
  <c r="S35" i="25" s="1"/>
  <c r="K33" i="25"/>
  <c r="S33" i="25" s="1"/>
  <c r="K31" i="25"/>
  <c r="S31" i="25" s="1"/>
  <c r="K27" i="25"/>
  <c r="S27" i="25" s="1"/>
  <c r="K23" i="25"/>
  <c r="S23" i="25" s="1"/>
  <c r="K21" i="25"/>
  <c r="S21" i="25" s="1"/>
  <c r="K53" i="25"/>
  <c r="S53" i="25" s="1"/>
  <c r="K47" i="25"/>
  <c r="S47" i="25" s="1"/>
  <c r="K45" i="25"/>
  <c r="K39" i="25"/>
  <c r="S39" i="25" s="1"/>
  <c r="K38" i="25"/>
  <c r="S38" i="25" s="1"/>
  <c r="K36" i="25"/>
  <c r="S36" i="25" s="1"/>
  <c r="K34" i="25"/>
  <c r="S34" i="25" s="1"/>
  <c r="K32" i="25"/>
  <c r="S32" i="25" s="1"/>
  <c r="K30" i="25"/>
  <c r="S30" i="25" s="1"/>
  <c r="K24" i="25"/>
  <c r="S24" i="25" s="1"/>
  <c r="K22" i="25"/>
  <c r="S22" i="25" s="1"/>
  <c r="K56" i="25"/>
  <c r="N56" i="25" s="1"/>
  <c r="N58" i="25" s="1"/>
  <c r="K18" i="25"/>
  <c r="S18" i="25" s="1"/>
  <c r="K43" i="25"/>
  <c r="S43" i="25" s="1"/>
  <c r="K55" i="25"/>
  <c r="S55" i="25" s="1"/>
  <c r="L51" i="30"/>
  <c r="K17" i="25"/>
  <c r="S17" i="25" s="1"/>
  <c r="L53" i="30"/>
  <c r="K57" i="25"/>
  <c r="S57" i="25" s="1"/>
  <c r="L9" i="30"/>
  <c r="L49" i="30"/>
  <c r="K12" i="30"/>
  <c r="K13" i="30"/>
  <c r="K28" i="25"/>
  <c r="S28" i="25" s="1"/>
  <c r="K41" i="25"/>
  <c r="S41" i="25" s="1"/>
  <c r="S45" i="25" l="1"/>
  <c r="L44" i="25"/>
  <c r="S56" i="25"/>
  <c r="S58" i="25"/>
  <c r="L17" i="25"/>
  <c r="N12" i="25"/>
  <c r="S12" i="25" s="1"/>
  <c r="L52" i="25"/>
  <c r="L54" i="25"/>
  <c r="L12" i="25"/>
  <c r="L56" i="25"/>
  <c r="K56" i="30"/>
  <c r="K59" i="30" s="1"/>
  <c r="L21" i="25"/>
  <c r="K15" i="25"/>
  <c r="K16" i="25"/>
  <c r="N13" i="25" l="1"/>
  <c r="S13" i="25" s="1"/>
  <c r="O56" i="25"/>
  <c r="O16" i="25"/>
  <c r="O12" i="25" l="1"/>
  <c r="K59" i="25" s="1"/>
  <c r="K62" i="25"/>
  <c r="K63" i="25" s="1"/>
  <c r="K64" i="2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<sst xmlns="http://schemas.openxmlformats.org/spreadsheetml/2006/main" count="1071" uniqueCount="258">
  <si>
    <t>III. Nyilatkozatok</t>
  </si>
  <si>
    <t>Kelt:</t>
  </si>
  <si>
    <t>I. Alapadatok</t>
  </si>
  <si>
    <t>Megnevezés</t>
  </si>
  <si>
    <t>Mérték-egység</t>
  </si>
  <si>
    <t>-</t>
  </si>
  <si>
    <t>Kölcsönigénylő neve:</t>
  </si>
  <si>
    <t>nem</t>
  </si>
  <si>
    <t>Gépelje be személyazonosító okmányán szereplő teljes nevét!</t>
  </si>
  <si>
    <t>igen</t>
  </si>
  <si>
    <t>Nettó</t>
  </si>
  <si>
    <t>Bruttó</t>
  </si>
  <si>
    <t>A</t>
  </si>
  <si>
    <t>B</t>
  </si>
  <si>
    <t>Hatályos:</t>
  </si>
  <si>
    <t>KÖLTSÉGVETÉS ÉS NYILATKOZATOK</t>
  </si>
  <si>
    <t>aláírás</t>
  </si>
  <si>
    <t>név (nyomtatott betűkkel)</t>
  </si>
  <si>
    <t>állandó lakhely</t>
  </si>
  <si>
    <t>ELŐTTÜNK MINT TANÚK ELŐTT</t>
  </si>
  <si>
    <t>Alulírott Kölcsönigénylő (meghatalmazottja) kijelentem, hogy a jelen Nyilatkozatban feltüntetett adatok tartalmát megismertem és elfogadom, valamint a Projektre vonatkozóan kötelezően betartom és betartatom.</t>
  </si>
  <si>
    <t>I.                    Alapadatok</t>
  </si>
  <si>
    <t>II.                  Megvalósítandó fejlesztések</t>
  </si>
  <si>
    <t>nem releváns</t>
  </si>
  <si>
    <t>A+++</t>
  </si>
  <si>
    <t>A++</t>
  </si>
  <si>
    <t>A+</t>
  </si>
  <si>
    <t>C</t>
  </si>
  <si>
    <t>D</t>
  </si>
  <si>
    <t>E</t>
  </si>
  <si>
    <t>F</t>
  </si>
  <si>
    <t>G</t>
  </si>
  <si>
    <t>H</t>
  </si>
  <si>
    <t>I</t>
  </si>
  <si>
    <t>Nyílászáró csere</t>
  </si>
  <si>
    <t>Használati melegvíz-rendszerek korszerűsítése</t>
  </si>
  <si>
    <t>sorházi családi ház</t>
  </si>
  <si>
    <t>ikerház</t>
  </si>
  <si>
    <t>zártkerti lakóház</t>
  </si>
  <si>
    <t>Határoló szerkezetek hőszigetelése</t>
  </si>
  <si>
    <t>A projekt megvalósításához szükséges hatósági és egyéb engedély(ek) megnevezése /  Az engedélyezési folyamat státuszának és ütemezésének ismertetése:</t>
  </si>
  <si>
    <t>szabadon álló családi ház</t>
  </si>
  <si>
    <t>lakóház</t>
  </si>
  <si>
    <t>&lt;Kérjük, válasszon&gt;</t>
  </si>
  <si>
    <t xml:space="preserve">amely létrejött egyrészről </t>
  </si>
  <si>
    <t>név:</t>
  </si>
  <si>
    <t>születési hely/idő:</t>
  </si>
  <si>
    <t>anyja neve:</t>
  </si>
  <si>
    <t>állandó lakcíme:</t>
  </si>
  <si>
    <t>cég/vállalkozó neve:</t>
  </si>
  <si>
    <t>cégjegyzékszám/egyéni vállalkozói nyilvántartási száma:</t>
  </si>
  <si>
    <t>székhelye:</t>
  </si>
  <si>
    <t>adószáma:</t>
  </si>
  <si>
    <t>képviseletében eljáró személy:</t>
  </si>
  <si>
    <t>mint vállalkozó (a továbbiakban: Vállalkozó),</t>
  </si>
  <si>
    <t>(a továbbiakban együtt: Felek) között a szerződés aláírásának napján, az alábbiak szerint:</t>
  </si>
  <si>
    <t>I. A szerződés tárgya:</t>
  </si>
  <si>
    <t>Az ingatlan címe:</t>
  </si>
  <si>
    <t>II. Műszaki tartalom:</t>
  </si>
  <si>
    <t>Anyagköltség</t>
  </si>
  <si>
    <t>III. Vállalkozási díj:</t>
  </si>
  <si>
    <t>Nettó:</t>
  </si>
  <si>
    <t>+ Áfa:</t>
  </si>
  <si>
    <t>Bruttó:</t>
  </si>
  <si>
    <t>IV. Munkavégzés ütemezése, határidők, fizetési feltételek</t>
  </si>
  <si>
    <t>V. Jótállási, garanciális, illetve szavatossági kötelezettségek</t>
  </si>
  <si>
    <t>Hőleadók cseréje</t>
  </si>
  <si>
    <t xml:space="preserve">Építészeti műszaki dokumentáció hiányában az építési termék építménybe történő betervezésének és beépítésének, ennek során a teljesítmény igazolásának részletes szabályairól szóló 275/2013. (VII. 16.) Korm. rendelet értelmében az építési termékek elvárt műszaki teljesítményét a kivitelezési szerződésben kell meghatározni, amelyet a nyilatkozathoz mellékelni szükséges. </t>
  </si>
  <si>
    <t>Padlófűtési csőrendszer kiépítése</t>
  </si>
  <si>
    <t>Mennyiség</t>
  </si>
  <si>
    <t>csak munkadíj</t>
  </si>
  <si>
    <t>csak anyagköltség</t>
  </si>
  <si>
    <t>Igen</t>
  </si>
  <si>
    <t>Nem</t>
  </si>
  <si>
    <t xml:space="preserve">műanyag </t>
  </si>
  <si>
    <t>fa</t>
  </si>
  <si>
    <t xml:space="preserve">Munkadíj  </t>
  </si>
  <si>
    <t>-12 cm-ig</t>
  </si>
  <si>
    <t>13-15 cm</t>
  </si>
  <si>
    <t>16-20 cm</t>
  </si>
  <si>
    <t>Homlokzati</t>
  </si>
  <si>
    <t>Tetősík</t>
  </si>
  <si>
    <t>Homlokzat EPS és lábazati XPS</t>
  </si>
  <si>
    <t>Homlokzat kőzetgyapot és lábazati XPS</t>
  </si>
  <si>
    <t>Homlokzat PIR és lábazati XPS</t>
  </si>
  <si>
    <t>-20 cm-ig</t>
  </si>
  <si>
    <t>21-25 cm</t>
  </si>
  <si>
    <t>26-30 cm</t>
  </si>
  <si>
    <t xml:space="preserve">Tetősík </t>
  </si>
  <si>
    <t>-30 cm-ig</t>
  </si>
  <si>
    <t>31-40 cm</t>
  </si>
  <si>
    <t xml:space="preserve">Padlásfödém (kőzetgyapot) </t>
  </si>
  <si>
    <t>Padlásfödém (üveggyapot)</t>
  </si>
  <si>
    <t>-10 cm-ig</t>
  </si>
  <si>
    <t>11-15 cm</t>
  </si>
  <si>
    <t>Pincefödém</t>
  </si>
  <si>
    <t>Árkád feletti alulról hűlő födém(kőzetgyapot)</t>
  </si>
  <si>
    <t>-15 cm-ig</t>
  </si>
  <si>
    <t>Nem járható egyenes rétegrendű lapostető</t>
  </si>
  <si>
    <t>Használati melegvíz előállító berendezés</t>
  </si>
  <si>
    <t>Hőszivattyús használati melegvíz előállító és tároló berendezés felszerelés</t>
  </si>
  <si>
    <t>Hőszivattyús rendszer</t>
  </si>
  <si>
    <t xml:space="preserve">Mennyezethűtési és fűtési rendszer kiépítése </t>
  </si>
  <si>
    <t>Megvalósítási helyszín pontos címe</t>
  </si>
  <si>
    <t>A fejlesztéssel érintett ingatlan típusa</t>
  </si>
  <si>
    <t>Projekten felüli, a beruházás életképes megvalósításához szükséges</t>
  </si>
  <si>
    <t>II. Megvalósítandó fejlesztések</t>
  </si>
  <si>
    <t>Állandó lakhely</t>
  </si>
  <si>
    <t>Aláírás</t>
  </si>
  <si>
    <t>Név (nyomtatott betűkkel)</t>
  </si>
  <si>
    <t>MINDÖSSZESEN</t>
  </si>
  <si>
    <r>
      <rPr>
        <b/>
        <sz val="11"/>
        <color theme="3"/>
        <rFont val="Calibri"/>
        <family val="2"/>
        <charset val="238"/>
        <scheme val="minor"/>
      </rPr>
      <t xml:space="preserve">6. </t>
    </r>
    <r>
      <rPr>
        <sz val="11"/>
        <rFont val="Calibri"/>
        <family val="2"/>
        <charset val="238"/>
        <scheme val="minor"/>
      </rPr>
      <t>A fejlesztéssel érintett szerkezeti elemek uniós, költségvetési vagy egyéb támogatás igénybevételével nem kerültek energetikai korszerűsítésre. Amennyiben korszerűsítésre kerültek, úgy a fenntartási időszak lezárult, vagy a szerkezeti elem ismételt korszerűsítéséhez a Támogató hozzájárulását adta.</t>
    </r>
  </si>
  <si>
    <t>ML153U sz. melléklet</t>
  </si>
  <si>
    <t>01_KÖLTSÉGVETÉS</t>
  </si>
  <si>
    <t>Egyéb költség</t>
  </si>
  <si>
    <t>Előkészítés költségei</t>
  </si>
  <si>
    <t>BRUTTÓ ELSZÁMOLHATÓ KÖLTSÉGEK ÖSSZESEN</t>
  </si>
  <si>
    <r>
      <rPr>
        <b/>
        <sz val="11"/>
        <color theme="3"/>
        <rFont val="Calibri"/>
        <family val="2"/>
        <charset val="238"/>
        <scheme val="minor"/>
      </rPr>
      <t>2.</t>
    </r>
    <r>
      <rPr>
        <sz val="11"/>
        <rFont val="Calibri"/>
        <family val="2"/>
        <charset val="238"/>
        <scheme val="minor"/>
      </rPr>
      <t xml:space="preserve"> A beruházás során elszámolt beépítésre kerülő építési kulcstermékek szerepelnek az ÉMI NKft. az ofp.emi.hu honlapon található Építési kulcstermékek adatbázisában.</t>
    </r>
  </si>
  <si>
    <r>
      <rPr>
        <b/>
        <sz val="11"/>
        <color theme="3"/>
        <rFont val="Calibri"/>
        <family val="2"/>
        <charset val="238"/>
        <scheme val="minor"/>
      </rPr>
      <t xml:space="preserve">3. </t>
    </r>
    <r>
      <rPr>
        <sz val="11"/>
        <rFont val="Calibri"/>
        <family val="2"/>
        <charset val="238"/>
        <scheme val="minor"/>
      </rPr>
      <t>Tudomásul veszem, hogy a projekt megvalósítását megelőző fejlesztés előtti (kiinduló) állapothoz képest a korszerűsítéssel érintett épületen legalább 30%-os mértékű  primer energiafogyasztás  csökkenést kell elérni, melyet a kölcsönkérelem benyújtásakor és az utolsó folyósítás feltételeként benyújtott hiteles energetikai tanúsítvánnyal (a kölcsönkérelem benyújtásakor a tervezett állapotra vonatkozó energetikai számítással) szükséges igazolni.</t>
    </r>
  </si>
  <si>
    <r>
      <rPr>
        <b/>
        <sz val="11"/>
        <color theme="3"/>
        <rFont val="Calibri"/>
        <family val="2"/>
        <charset val="238"/>
        <scheme val="minor"/>
      </rPr>
      <t xml:space="preserve">4. </t>
    </r>
    <r>
      <rPr>
        <sz val="11"/>
        <rFont val="Calibri"/>
        <family val="2"/>
        <charset val="238"/>
        <scheme val="minor"/>
      </rPr>
      <t>Tudomásul veszem, hogy csak és kizárólag a Kölcsönigénylő nevére és a megvalósítási helyszín címére kiállított számla fogadható el.</t>
    </r>
  </si>
  <si>
    <r>
      <rPr>
        <b/>
        <sz val="11"/>
        <color theme="3"/>
        <rFont val="Calibri"/>
        <family val="2"/>
        <charset val="238"/>
        <scheme val="minor"/>
      </rPr>
      <t xml:space="preserve">5. </t>
    </r>
    <r>
      <rPr>
        <sz val="11"/>
        <rFont val="Calibri"/>
        <family val="2"/>
        <charset val="238"/>
        <scheme val="minor"/>
      </rPr>
      <t xml:space="preserve">A beszerezni kívánt anyagok kereskedelmi forgalmazásával üzletszerűen foglalkozó, kereskedőnek vagy gyártónak minősülő szállítótól (aki szintén az érintett anyagok kereskedelmi forgalmával üzletszerűen foglalkozó, hivatalos forgalmazójától, vagy gyártónak minősülő szállítójától szerezte azokat be)  szerzem/szerezzük be, a piacon szokványos jótállási és szavatossági feltételek biztosítása mellett. </t>
    </r>
  </si>
  <si>
    <t>Mennyi-ség</t>
  </si>
  <si>
    <t xml:space="preserve">A számlák kiállításakor Vállalkozó vállalja, hogy a Felhívás keretében nem támogatható tevékenységeket külön számlán vagy számlákon szerepelteti.
A számla kiállításakor a Vállalkozó vállalja, hogy a számlában foglaltakkal, továbbá a Vállalkozói szerződéssel, illetve annak esetleges módosításaival összhangban tételes, árazott számlarészletező dokumentumot állít ki, illetve ad át a Megrendelő részére, mely dokumentum az elszámolás során becsatolandó.
Vállalkozó kijelenti, hogy a Megrendelő nevére szóló jelen szerződésen alapuló számlával vagy számlákkal kapcsolatosan az állami adó- és vámhatóság részére az adatszolgáltatási kötelezettségét az előírt határidőben teljesíti az általános forgalmi adóról szóló 2007. évi CXXVII. törvény 10. számú melléklet 1. pontja szerinti adatszolgáltatási kötelezettségét, amely szerint köteles az állami adó- és vámhatóság részére adatot szolgáltatni a belföldön teljesített termékértékesítéséről, szolgáltatásnyújtásáról kibocsátott vagy kiállított számláról, számlával egy tekintet alá eső okiratról. </t>
  </si>
  <si>
    <t>Vállalkozó vállalja a kapcsolódó jogszabályokban előírt jótállás, garancia, illetve szavatosság nyújtását.
Vállalkozó I. osztályú minőség teljesítésére vállalkozik. Kivitelező tudomásul veszi, hogy hibás, nem I. osztályú, jogszabályoknak nem megfelelő teljesítés esetén az átvételre kizárólag a hibák kijavítása után kerülhet sor.</t>
  </si>
  <si>
    <t>VI. Egyéb rendelkezések</t>
  </si>
  <si>
    <t>Vállalkozó felelős a munkaterület biztonságáért és saját alkalmazottainak munkavédelméért, a saját és a Megrendelő tulajdonának biztonságáért, valamint a Megrendelőnek és harmadik félnek okozott károkért. A munkaterületre szállított anyagok, gépek és egyéb értékek őrzéséről a Vállalkozó gondoskodik.
Felek rögzítik, hogy jelen vállalkozási szerződés azon a napon lép hatályba, amelyen a Megrendelő megkötötte a Kölcsönszerződést. A Kölcsönszerződés megkötéséről a Megrendelő haladéktalanul értesíti a Vállalkozót. Felek kijelentik, hogy a Megrendelő sikertelen kölcsönfelvétele esetén egymás felé követelésük nincs; a kölcsönfelvétel meghiúsulásáról a Megrendelő haladéktalanul értesíti a Vállalkozót. 
Felek rögzítik és kijelentik, hogy „A fenntartható fejlődés elősegítése figyelembe véve az ENSZ fenntartható fejlődésre vonatkozó céljait, a Párizsi Megállapodást, a „szennyező fizet” elvet és a „ne okozz jelentős kárt” elvet.” értelmében a teljes beruházás tervezése és megvalósítása során Felek folyamatosan vizsgálják, hogy annak működése és eredményei hogyan érintik, befolyásolják azt a közösséget és azt a környezetet, amiben a Projekt megvalósul.
A környezetvédelmi jogszabályokat Felek betartják, a Projekt által érintett területen a védett természeti és kulturális értékeket megőrzik, a fennálló, vagy a beruházás során keletkezett környezeti kárt és az alapvető jogok tiszteletben tartása szempontjából jogszabályba ütköző nem-megfelelőséget legkésőbb a Projekt megvalósításáig megszüntetik a „Tájékoztató a jelentős károkozás elkerüléséhez - Lakossági energiahatékonysági beruházók részére” című dokumentum, valamint a Lakossági Eljárási Rend Alapjogi Chartának való megfelelésére vonatkozó rendelkezései szerint.
A Felek egybehangzóan kijelentik, hogy a Vállalkozó, valamint a Vállalkozó közvetlen vagy közvetett tulajdonosa, vezető tisztségviselője, munkavállalója nem közeli hozzátartozója vagy élettársa a Megrendelőnek, illetve az Otthonfelújítási Programban Adóstársaként megjelölt személynek (továbbiakban: Adóstárs), valamint a Megrendelő, illetve Adóstársa nem munkavállalója, vezető tisztségviselője vagy tagja a Vállalkozónak.
Jelen szerződésben nem szabályozott kérdésekben a Polgári Törvénykönyvről szóló 2013. évi V. törvény, valamint a felek külön megállapodása az irányadó.</t>
  </si>
  <si>
    <t>Kivitelezői nyilatkozatok</t>
  </si>
  <si>
    <t>Alulírott a kivitelezést végző cég képviseletében eljárva büntetőjogi felelősségem teljes tudatában nyilatkozom az alábbiakról:</t>
  </si>
  <si>
    <t>Kivitelezést végző aláírása</t>
  </si>
  <si>
    <t>Kölcsönigénylő aláírása</t>
  </si>
  <si>
    <t>Vállalkozó kijelenti, hogy
a.   az előzetes felmérés alapján a beruházással érintett épület műszaki állapota alapján alkalmas a jelen szerződésben foglalt munkálatok fogadására;
b.   a beruházás során kizárólag kereskedelmi forgalomból beszerzett új berendezések, készülékek és anyagok kerültek beépítésére, amelyek rendelkeztek mind a forgalomba hozatali, mind pedig a beépítéshez szükséges engedélyekkel, minősítésekkel, teljesítmény nyilatkozatokkal stb., amelyek meglétéről és azok megfelelő tartalmáról a Kivitelező meggyőződött (figyelemmel a 275/2013. (VII. 16.) Korm. rendelet előírásaira);
c.   a beruházás az építőipari kivitelezési tevékenységre vonatkozó jogszabályok, szabványok, irányelvek, általános érvényű és eseti előírások, így különösen a statikai, tűzvédelmi és az épületenergetikai követelmények, szakmai, minőségi, környezetvédelmi és biztonsági előírások megtartásával szakszerűen kerül elvégzésre, kiemelve az alábbi jogszabályokat:
      ·   a beruházás során alkalmazott műszaki megoldások az épített környezet alakításáról és védelméről szóló 1997. évi LXXVIII. tv. 31. §-a (2) bekezdésének értelmében az országos településrendezési és építési követelményekről szóló kormányrendeletben meghatározott alapvető követelmények érvényre juttatásával valósulnak meg,
     ·    a beruházás során alkalmazott műszaki megoldások megfelelnek az Országos Tűzvédelmi Szabályzatról szóló 54/2014. (XII. 5.) BM rendelet előírásainak. A beépítésre kerülő építési termékek tűzállósági teljesítményei megfelelőek;
d.  a beruházás során a gyártók minősítéseiben és alkalmazástechnikai útmutatóiban foglalt előírások, ajánlások maradéktalanul betartásra kerülnek;
e.  a beruházás során keletkező építési-bontási hulladék az előírások szerint kerül kezelésre, továbbá az az építőipari kivitelezési tevékenység befejezésekor a munkaterületről a külön jogszabályban foglaltak szerint elszállításra kerül.</t>
  </si>
  <si>
    <t>(keltezés: település, dátum)</t>
  </si>
  <si>
    <t>Kérjük, hogy pontos címet írjon be! Irányítószám, helység, közterület neve, közterület típusa, házszám, emelet, ajtó. Helyrajzi szám megadása kötelező, ha nincs természetbeni címe az ingatlannak.</t>
  </si>
  <si>
    <t xml:space="preserve">A fejlesztéssel érintett ingatlan típusa: </t>
  </si>
  <si>
    <t>Válassza ki a legördülő menüből a megfelelő opciót! 
(A legördülő menü elérése: kattintson/lépjen a cellára, s az ekkor - a cella mellett a lenyíló ablakból válassza ki a megfelelő lehetőséget!)</t>
  </si>
  <si>
    <t>Költségvetés</t>
  </si>
  <si>
    <t>Nyilatkozatok</t>
  </si>
  <si>
    <t>Keltezés, aláírás, tanúzás</t>
  </si>
  <si>
    <t>02_VÁLLALKOZÁSI SZERZŐDÉS</t>
  </si>
  <si>
    <t>Alapadatok</t>
  </si>
  <si>
    <t>A szerződés tárgya</t>
  </si>
  <si>
    <t>Vállalkozási díj</t>
  </si>
  <si>
    <t>A vállalkozási díj nettó, ÁFA és bruttó összegét a szerződés I. számú mellékletben szereplő költségvetés összesített soraiból emelik át automatikusan a cellák.</t>
  </si>
  <si>
    <t xml:space="preserve">Munkavégzés ütemezése, határidők, fizetési feltételek </t>
  </si>
  <si>
    <t>Műszaki tartalom</t>
  </si>
  <si>
    <t>Kérjük a teljes kitöltést követően írja alá a kinyomtatott dokumentumot.</t>
  </si>
  <si>
    <t>A projekt megvalósításához szükséges engedélyek megnevezése</t>
  </si>
  <si>
    <t>Kivitelezői nyilatkozat</t>
  </si>
  <si>
    <t>03_Saját beszerzés</t>
  </si>
  <si>
    <t>Kölcsönigénylő neve és megvalósítási helyszín</t>
  </si>
  <si>
    <t>Ezen adatok automatikusan kerülnek átemelésre a Költségvetés munkalapról.</t>
  </si>
  <si>
    <t>A Költségvetés és nyilatkozatok dokumentum a Kölcsönkérelem szerves részét képezi, ezért kérjük, hogy annak kitöltésekor körültekintően járjon el. A kitöltés megkezdése előtt javasoljuk, hogy gondolja át az energetikai korszerűsítés pontos megvalósítását, vagyis, hogy mely elemeket fogja vállalkozóval végeztetni és mely alapanyagokat szerzi be saját maga. 
Fontos, hogy a táblázatokat elektronikusan, a munkalapok sorrendjében haladva töltse ki!
A cellák kitöltése során amennyiben narancssárga színnel jelölt hibát észlel, úgy előbb javítsa a hibát és utána lépjen tovább a következő munkalapra.
Kérjük a Kölcsönkérelem benyújtásakor ezen dokumentum minden releváns munkalapját kinyomtatva és aláírva hozza magával.</t>
  </si>
  <si>
    <t>Használati melegvíz rendszerek</t>
  </si>
  <si>
    <t>Fűtéskorszerűsítés</t>
  </si>
  <si>
    <t>Rögzítse a nettó és bruttó költségeket az Anyagköltségre és a Munkadíjra vonatkozóan. A táblázat vizsgálni fogja a fajlagos költség határokat.</t>
  </si>
  <si>
    <r>
      <t>m</t>
    </r>
    <r>
      <rPr>
        <vertAlign val="superscript"/>
        <sz val="10"/>
        <rFont val="Calibri"/>
        <family val="2"/>
        <charset val="238"/>
        <scheme val="minor"/>
      </rPr>
      <t>2</t>
    </r>
  </si>
  <si>
    <r>
      <rPr>
        <b/>
        <sz val="12"/>
        <color theme="3"/>
        <rFont val="Calibri"/>
        <family val="2"/>
        <charset val="238"/>
        <scheme val="minor"/>
      </rPr>
      <t>F.</t>
    </r>
    <r>
      <rPr>
        <b/>
        <sz val="12"/>
        <rFont val="Calibri"/>
        <family val="2"/>
        <charset val="238"/>
        <scheme val="minor"/>
      </rPr>
      <t xml:space="preserve"> </t>
    </r>
    <r>
      <rPr>
        <b/>
        <sz val="10"/>
        <rFont val="Calibri"/>
        <family val="2"/>
        <charset val="238"/>
        <scheme val="minor"/>
      </rPr>
      <t>Nem elszámolható költségek</t>
    </r>
  </si>
  <si>
    <r>
      <rPr>
        <b/>
        <sz val="10"/>
        <rFont val="Calibri"/>
        <family val="2"/>
        <charset val="238"/>
        <scheme val="minor"/>
      </rPr>
      <t xml:space="preserve">E1. </t>
    </r>
    <r>
      <rPr>
        <sz val="10"/>
        <rFont val="Calibri"/>
        <family val="2"/>
        <charset val="238"/>
        <scheme val="minor"/>
      </rPr>
      <t>Záró energetikai tanusítvány</t>
    </r>
  </si>
  <si>
    <r>
      <rPr>
        <b/>
        <sz val="10"/>
        <rFont val="Calibri"/>
        <family val="2"/>
        <charset val="238"/>
        <scheme val="minor"/>
      </rPr>
      <t xml:space="preserve">E2. </t>
    </r>
    <r>
      <rPr>
        <sz val="10"/>
        <rFont val="Calibri"/>
        <family val="2"/>
        <charset val="238"/>
        <scheme val="minor"/>
      </rPr>
      <t>Tanácsadás</t>
    </r>
  </si>
  <si>
    <r>
      <rPr>
        <b/>
        <sz val="10"/>
        <rFont val="Calibri"/>
        <family val="2"/>
        <charset val="238"/>
        <scheme val="minor"/>
      </rPr>
      <t xml:space="preserve">E3. </t>
    </r>
    <r>
      <rPr>
        <sz val="10"/>
        <rFont val="Calibri"/>
        <family val="2"/>
        <charset val="238"/>
        <scheme val="minor"/>
      </rPr>
      <t>Egyéb elszámolható költségek</t>
    </r>
  </si>
  <si>
    <r>
      <rPr>
        <b/>
        <sz val="12"/>
        <color theme="3"/>
        <rFont val="Calibri"/>
        <family val="2"/>
        <charset val="238"/>
        <scheme val="minor"/>
      </rPr>
      <t>E.</t>
    </r>
    <r>
      <rPr>
        <b/>
        <sz val="10"/>
        <color theme="3"/>
        <rFont val="Calibri"/>
        <family val="2"/>
        <charset val="238"/>
        <scheme val="minor"/>
      </rPr>
      <t xml:space="preserve"> </t>
    </r>
    <r>
      <rPr>
        <b/>
        <sz val="10"/>
        <rFont val="Calibri"/>
        <family val="2"/>
        <charset val="238"/>
        <scheme val="minor"/>
      </rPr>
      <t>Egyéb költségek</t>
    </r>
  </si>
  <si>
    <r>
      <rPr>
        <b/>
        <sz val="10"/>
        <color theme="3"/>
        <rFont val="Calibri"/>
        <family val="2"/>
        <charset val="238"/>
        <scheme val="minor"/>
      </rPr>
      <t xml:space="preserve">B1f. </t>
    </r>
    <r>
      <rPr>
        <b/>
        <sz val="10"/>
        <rFont val="Calibri"/>
        <family val="2"/>
        <charset val="238"/>
        <scheme val="minor"/>
      </rPr>
      <t>Fűtéskorszerűsítés (levegő-víz hőszivattyú, hőleadók)</t>
    </r>
  </si>
  <si>
    <r>
      <rPr>
        <b/>
        <sz val="10"/>
        <color theme="3"/>
        <rFont val="Calibri"/>
        <family val="2"/>
        <charset val="238"/>
        <scheme val="minor"/>
      </rPr>
      <t xml:space="preserve">B1g. </t>
    </r>
    <r>
      <rPr>
        <b/>
        <sz val="10"/>
        <rFont val="Calibri"/>
        <family val="2"/>
        <charset val="238"/>
        <scheme val="minor"/>
      </rPr>
      <t>Padló-, mennyezetfűtési rendszerek</t>
    </r>
  </si>
  <si>
    <r>
      <rPr>
        <b/>
        <sz val="10"/>
        <color theme="3"/>
        <rFont val="Calibri"/>
        <family val="2"/>
        <charset val="238"/>
        <scheme val="minor"/>
      </rPr>
      <t xml:space="preserve">B1d. </t>
    </r>
    <r>
      <rPr>
        <b/>
        <sz val="10"/>
        <rFont val="Calibri"/>
        <family val="2"/>
        <charset val="238"/>
        <scheme val="minor"/>
      </rPr>
      <t>Nyílászáró csere</t>
    </r>
  </si>
  <si>
    <r>
      <rPr>
        <b/>
        <sz val="10"/>
        <color theme="3"/>
        <rFont val="Calibri"/>
        <family val="2"/>
        <charset val="238"/>
        <scheme val="minor"/>
      </rPr>
      <t xml:space="preserve">B1c. </t>
    </r>
    <r>
      <rPr>
        <b/>
        <sz val="10"/>
        <rFont val="Calibri"/>
        <family val="2"/>
        <charset val="238"/>
        <scheme val="minor"/>
      </rPr>
      <t>Határoló szerkezetek hőszigetelése</t>
    </r>
  </si>
  <si>
    <r>
      <rPr>
        <b/>
        <sz val="10"/>
        <color theme="3"/>
        <rFont val="Calibri"/>
        <family val="2"/>
        <charset val="238"/>
        <scheme val="minor"/>
      </rPr>
      <t>B1b.</t>
    </r>
    <r>
      <rPr>
        <b/>
        <sz val="10"/>
        <rFont val="Calibri"/>
        <family val="2"/>
        <charset val="238"/>
        <scheme val="minor"/>
      </rPr>
      <t xml:space="preserve"> Használati melegvíz rendszerek</t>
    </r>
  </si>
  <si>
    <r>
      <rPr>
        <b/>
        <sz val="12"/>
        <color theme="3"/>
        <rFont val="Calibri"/>
        <family val="2"/>
        <charset val="238"/>
        <scheme val="minor"/>
      </rPr>
      <t>B1.</t>
    </r>
    <r>
      <rPr>
        <b/>
        <sz val="10"/>
        <color theme="3"/>
        <rFont val="Calibri"/>
        <family val="2"/>
        <charset val="238"/>
        <scheme val="minor"/>
      </rPr>
      <t xml:space="preserve"> </t>
    </r>
    <r>
      <rPr>
        <b/>
        <sz val="10"/>
        <rFont val="Calibri"/>
        <family val="2"/>
        <charset val="238"/>
        <scheme val="minor"/>
      </rPr>
      <t>Energiahatékonyság javítására vonatkozó tevékenységek</t>
    </r>
  </si>
  <si>
    <r>
      <rPr>
        <b/>
        <sz val="12"/>
        <color theme="3"/>
        <rFont val="Calibri"/>
        <family val="2"/>
        <charset val="238"/>
        <scheme val="minor"/>
      </rPr>
      <t>B.</t>
    </r>
    <r>
      <rPr>
        <b/>
        <sz val="10"/>
        <color theme="3"/>
        <rFont val="Calibri"/>
        <family val="2"/>
        <charset val="238"/>
        <scheme val="minor"/>
      </rPr>
      <t xml:space="preserve"> </t>
    </r>
    <r>
      <rPr>
        <b/>
        <sz val="10"/>
        <rFont val="Calibri"/>
        <family val="2"/>
        <charset val="238"/>
        <scheme val="minor"/>
      </rPr>
      <t>Beruházások</t>
    </r>
  </si>
  <si>
    <r>
      <rPr>
        <b/>
        <sz val="12"/>
        <color theme="3"/>
        <rFont val="Calibri"/>
        <family val="2"/>
        <charset val="238"/>
        <scheme val="minor"/>
      </rPr>
      <t>A.</t>
    </r>
    <r>
      <rPr>
        <b/>
        <sz val="10"/>
        <color theme="3"/>
        <rFont val="Calibri"/>
        <family val="2"/>
        <charset val="238"/>
        <scheme val="minor"/>
      </rPr>
      <t xml:space="preserve"> </t>
    </r>
    <r>
      <rPr>
        <b/>
        <sz val="10"/>
        <rFont val="Calibri"/>
        <family val="2"/>
        <charset val="238"/>
        <scheme val="minor"/>
      </rPr>
      <t>Előkészítés költségei</t>
    </r>
  </si>
  <si>
    <r>
      <rPr>
        <b/>
        <sz val="10"/>
        <color theme="3"/>
        <rFont val="Calibri"/>
        <family val="2"/>
        <charset val="238"/>
        <scheme val="minor"/>
      </rPr>
      <t>A1</t>
    </r>
    <r>
      <rPr>
        <sz val="10"/>
        <color theme="3"/>
        <rFont val="Calibri"/>
        <family val="2"/>
        <charset val="238"/>
        <scheme val="minor"/>
      </rPr>
      <t xml:space="preserve"> </t>
    </r>
    <r>
      <rPr>
        <sz val="10"/>
        <rFont val="Calibri"/>
        <family val="2"/>
        <charset val="238"/>
        <scheme val="minor"/>
      </rPr>
      <t>Kötelező előzetes tanulmányok, műszaki dokumentáció (energetikai tanúsítvány)</t>
    </r>
  </si>
  <si>
    <r>
      <rPr>
        <b/>
        <sz val="10"/>
        <color theme="3"/>
        <rFont val="Calibri"/>
        <family val="2"/>
        <charset val="238"/>
        <scheme val="minor"/>
      </rPr>
      <t>A2</t>
    </r>
    <r>
      <rPr>
        <sz val="10"/>
        <color theme="3"/>
        <rFont val="Calibri"/>
        <family val="2"/>
        <charset val="238"/>
        <scheme val="minor"/>
      </rPr>
      <t xml:space="preserve"> </t>
    </r>
    <r>
      <rPr>
        <sz val="10"/>
        <rFont val="Calibri"/>
        <family val="2"/>
        <charset val="238"/>
        <scheme val="minor"/>
      </rPr>
      <t>Engedélyezési dokumentumok, műszaki tervek, kiviteli és tendertervek és ezek hatósági díja</t>
    </r>
  </si>
  <si>
    <r>
      <rPr>
        <b/>
        <sz val="10"/>
        <color theme="3"/>
        <rFont val="Calibri"/>
        <family val="2"/>
        <charset val="238"/>
        <scheme val="minor"/>
      </rPr>
      <t>A4</t>
    </r>
    <r>
      <rPr>
        <b/>
        <sz val="10"/>
        <rFont val="Calibri"/>
        <family val="2"/>
        <charset val="238"/>
        <scheme val="minor"/>
      </rPr>
      <t xml:space="preserve"> </t>
    </r>
    <r>
      <rPr>
        <sz val="10"/>
        <rFont val="Calibri"/>
        <family val="2"/>
        <charset val="238"/>
        <scheme val="minor"/>
      </rPr>
      <t>Eljárási költségek</t>
    </r>
  </si>
  <si>
    <r>
      <t xml:space="preserve">(a továbbiakban: </t>
    </r>
    <r>
      <rPr>
        <b/>
        <sz val="10"/>
        <rFont val="Calibri"/>
        <family val="2"/>
        <charset val="238"/>
        <scheme val="minor"/>
      </rPr>
      <t>Megrendelő</t>
    </r>
    <r>
      <rPr>
        <sz val="10"/>
        <rFont val="Calibri"/>
        <family val="2"/>
        <charset val="238"/>
        <scheme val="minor"/>
      </rPr>
      <t>)</t>
    </r>
    <r>
      <rPr>
        <b/>
        <sz val="10"/>
        <rFont val="Calibri"/>
        <family val="2"/>
        <charset val="238"/>
        <scheme val="minor"/>
      </rPr>
      <t>,</t>
    </r>
    <r>
      <rPr>
        <sz val="10"/>
        <rFont val="Calibri"/>
        <family val="2"/>
        <charset val="238"/>
        <scheme val="minor"/>
      </rPr>
      <t xml:space="preserve"> másrészről</t>
    </r>
  </si>
  <si>
    <r>
      <t xml:space="preserve">A Vállalkozó a Lakossági Eljárási Rend alapján benyújtásra kerülő Kölcsönkérelemben foglalt, jelen szerződés II. pontjában részletezett </t>
    </r>
    <r>
      <rPr>
        <b/>
        <sz val="10"/>
        <rFont val="Calibri"/>
        <family val="2"/>
        <charset val="238"/>
        <scheme val="minor"/>
      </rPr>
      <t>műszaki tartalom szerződésszerű megvalósításának eredményeképpen az alábbi vállalkozói díja összesen</t>
    </r>
    <r>
      <rPr>
        <sz val="10"/>
        <rFont val="Calibri"/>
        <family val="2"/>
        <charset val="238"/>
        <scheme val="minor"/>
      </rPr>
      <t>:</t>
    </r>
  </si>
  <si>
    <r>
      <t>B1b.</t>
    </r>
    <r>
      <rPr>
        <b/>
        <sz val="10"/>
        <rFont val="Calibri"/>
        <family val="2"/>
        <charset val="238"/>
        <scheme val="minor"/>
      </rPr>
      <t xml:space="preserve"> Használati melegvíz rendszerek</t>
    </r>
  </si>
  <si>
    <r>
      <rPr>
        <b/>
        <sz val="10"/>
        <color theme="3"/>
        <rFont val="Calibri"/>
        <family val="2"/>
        <charset val="238"/>
        <scheme val="minor"/>
      </rPr>
      <t>B1c.</t>
    </r>
    <r>
      <rPr>
        <b/>
        <sz val="10"/>
        <rFont val="Calibri"/>
        <family val="2"/>
        <charset val="238"/>
        <scheme val="minor"/>
      </rPr>
      <t xml:space="preserve"> Határoló szerkezetek hőszigetelése</t>
    </r>
  </si>
  <si>
    <r>
      <t>B1c.</t>
    </r>
    <r>
      <rPr>
        <b/>
        <sz val="10"/>
        <rFont val="Calibri"/>
        <family val="2"/>
        <charset val="238"/>
        <scheme val="minor"/>
      </rPr>
      <t xml:space="preserve"> Határoló szerkezetek hőszigetelése</t>
    </r>
  </si>
  <si>
    <r>
      <rPr>
        <b/>
        <sz val="10"/>
        <color theme="3"/>
        <rFont val="Calibri"/>
        <family val="2"/>
        <charset val="238"/>
        <scheme val="minor"/>
      </rPr>
      <t>B1d.</t>
    </r>
    <r>
      <rPr>
        <b/>
        <sz val="10"/>
        <rFont val="Calibri"/>
        <family val="2"/>
        <charset val="238"/>
        <scheme val="minor"/>
      </rPr>
      <t xml:space="preserve"> Nyílászáró csere</t>
    </r>
  </si>
  <si>
    <r>
      <t>B1d.</t>
    </r>
    <r>
      <rPr>
        <b/>
        <sz val="10"/>
        <rFont val="Calibri"/>
        <family val="2"/>
        <charset val="238"/>
        <scheme val="minor"/>
      </rPr>
      <t xml:space="preserve"> Nyílászáró csere</t>
    </r>
  </si>
  <si>
    <r>
      <rPr>
        <b/>
        <sz val="10"/>
        <color theme="3"/>
        <rFont val="Calibri"/>
        <family val="2"/>
        <charset val="238"/>
        <scheme val="minor"/>
      </rPr>
      <t>B1g.</t>
    </r>
    <r>
      <rPr>
        <b/>
        <sz val="10"/>
        <rFont val="Calibri"/>
        <family val="2"/>
        <charset val="238"/>
        <scheme val="minor"/>
      </rPr>
      <t xml:space="preserve"> Padló-, mennyezetfűtési rendszerek</t>
    </r>
  </si>
  <si>
    <r>
      <t>B1g.</t>
    </r>
    <r>
      <rPr>
        <b/>
        <sz val="10"/>
        <rFont val="Calibri"/>
        <family val="2"/>
        <charset val="238"/>
        <scheme val="minor"/>
      </rPr>
      <t xml:space="preserve"> Padló-, mennyezetfűtési rendszerek</t>
    </r>
  </si>
  <si>
    <r>
      <t xml:space="preserve">B1f. </t>
    </r>
    <r>
      <rPr>
        <b/>
        <sz val="10"/>
        <rFont val="Calibri"/>
        <family val="2"/>
        <charset val="238"/>
        <scheme val="minor"/>
      </rPr>
      <t>Fűtéskorszerűsítés (levegő-víz hőszivattyú, hőleadók)</t>
    </r>
  </si>
  <si>
    <r>
      <t>F.</t>
    </r>
    <r>
      <rPr>
        <b/>
        <sz val="12"/>
        <rFont val="Calibri"/>
        <family val="2"/>
        <charset val="238"/>
        <scheme val="minor"/>
      </rPr>
      <t xml:space="preserve"> </t>
    </r>
    <r>
      <rPr>
        <b/>
        <sz val="10"/>
        <rFont val="Calibri"/>
        <family val="2"/>
        <charset val="238"/>
        <scheme val="minor"/>
      </rPr>
      <t>Nem elszámolható költségek</t>
    </r>
  </si>
  <si>
    <r>
      <rPr>
        <b/>
        <sz val="12"/>
        <color theme="3"/>
        <rFont val="Calibri"/>
        <family val="2"/>
        <charset val="238"/>
        <scheme val="minor"/>
      </rPr>
      <t>B1.</t>
    </r>
    <r>
      <rPr>
        <b/>
        <sz val="10"/>
        <rFont val="Calibri"/>
        <family val="2"/>
        <charset val="238"/>
        <scheme val="minor"/>
      </rPr>
      <t xml:space="preserve"> Energiahatékonyság javítására vonatkozó tevékenységek</t>
    </r>
  </si>
  <si>
    <r>
      <rPr>
        <b/>
        <sz val="10"/>
        <color theme="3"/>
        <rFont val="Calibri"/>
        <family val="2"/>
        <charset val="238"/>
        <scheme val="minor"/>
      </rPr>
      <t>B1f.</t>
    </r>
    <r>
      <rPr>
        <b/>
        <sz val="10"/>
        <rFont val="Calibri"/>
        <family val="2"/>
        <charset val="238"/>
        <scheme val="minor"/>
      </rPr>
      <t xml:space="preserve"> Fűtéskorszerűsítés (levegő-víz hőszivattyú, hőleadók)</t>
    </r>
  </si>
  <si>
    <r>
      <rPr>
        <b/>
        <sz val="12"/>
        <color theme="3"/>
        <rFont val="Calibri"/>
        <family val="2"/>
        <charset val="238"/>
        <scheme val="minor"/>
      </rPr>
      <t>E.</t>
    </r>
    <r>
      <rPr>
        <b/>
        <sz val="10"/>
        <rFont val="Calibri"/>
        <family val="2"/>
        <charset val="238"/>
        <scheme val="minor"/>
      </rPr>
      <t xml:space="preserve"> Egyéb költségek</t>
    </r>
  </si>
  <si>
    <r>
      <rPr>
        <b/>
        <sz val="10"/>
        <color theme="3"/>
        <rFont val="Calibri"/>
        <family val="2"/>
        <charset val="238"/>
        <scheme val="minor"/>
      </rPr>
      <t>E1.</t>
    </r>
    <r>
      <rPr>
        <b/>
        <sz val="10"/>
        <rFont val="Calibri"/>
        <family val="2"/>
        <charset val="238"/>
        <scheme val="minor"/>
      </rPr>
      <t xml:space="preserve"> </t>
    </r>
    <r>
      <rPr>
        <sz val="10"/>
        <rFont val="Calibri"/>
        <family val="2"/>
        <charset val="238"/>
        <scheme val="minor"/>
      </rPr>
      <t>Záró energetikai tanusítvány</t>
    </r>
  </si>
  <si>
    <r>
      <rPr>
        <b/>
        <sz val="10"/>
        <color theme="3"/>
        <rFont val="Calibri"/>
        <family val="2"/>
        <charset val="238"/>
        <scheme val="minor"/>
      </rPr>
      <t xml:space="preserve">E2. </t>
    </r>
    <r>
      <rPr>
        <sz val="10"/>
        <rFont val="Calibri"/>
        <family val="2"/>
        <charset val="238"/>
        <scheme val="minor"/>
      </rPr>
      <t>Tanácsadás</t>
    </r>
  </si>
  <si>
    <r>
      <rPr>
        <b/>
        <sz val="10"/>
        <color theme="3"/>
        <rFont val="Calibri"/>
        <family val="2"/>
        <charset val="238"/>
        <scheme val="minor"/>
      </rPr>
      <t xml:space="preserve">E3. </t>
    </r>
    <r>
      <rPr>
        <sz val="10"/>
        <rFont val="Calibri"/>
        <family val="2"/>
        <charset val="238"/>
        <scheme val="minor"/>
      </rPr>
      <t>Egyéb elszámolható költségek</t>
    </r>
  </si>
  <si>
    <r>
      <rPr>
        <b/>
        <sz val="10"/>
        <color theme="3"/>
        <rFont val="Calibri"/>
        <family val="2"/>
        <charset val="238"/>
        <scheme val="minor"/>
      </rPr>
      <t xml:space="preserve">A4 </t>
    </r>
    <r>
      <rPr>
        <sz val="10"/>
        <rFont val="Calibri"/>
        <family val="2"/>
        <charset val="238"/>
        <scheme val="minor"/>
      </rPr>
      <t>Eljárási költségek</t>
    </r>
  </si>
  <si>
    <r>
      <t xml:space="preserve">Fűtéskorszerűsítés  </t>
    </r>
    <r>
      <rPr>
        <b/>
        <sz val="9"/>
        <color theme="5" tint="-0.499984740745262"/>
        <rFont val="Calibri"/>
        <family val="2"/>
        <charset val="238"/>
        <scheme val="minor"/>
      </rPr>
      <t>(levegő-víz hőszivattyú, hőleadók, szekunder fűtési kör, padló- és mennyezethűtési/fűtési rendszerek, automatikus központi és helyi szabályozók)</t>
    </r>
  </si>
  <si>
    <r>
      <rPr>
        <b/>
        <sz val="10"/>
        <rFont val="Calibri"/>
        <family val="2"/>
        <charset val="238"/>
        <scheme val="minor"/>
      </rPr>
      <t>Kölcsönigénylő neve</t>
    </r>
    <r>
      <rPr>
        <sz val="10"/>
        <rFont val="Calibri"/>
        <family val="2"/>
        <charset val="238"/>
        <scheme val="minor"/>
      </rPr>
      <t>:</t>
    </r>
  </si>
  <si>
    <r>
      <rPr>
        <b/>
        <sz val="10"/>
        <rFont val="Calibri"/>
        <family val="2"/>
        <charset val="238"/>
        <scheme val="minor"/>
      </rPr>
      <t>Energiahatékonyság javításra vonatkozó tevékenységek:</t>
    </r>
    <r>
      <rPr>
        <sz val="10"/>
        <rFont val="Calibri"/>
        <family val="2"/>
        <charset val="238"/>
        <scheme val="minor"/>
      </rPr>
      <t xml:space="preserve"> </t>
    </r>
  </si>
  <si>
    <t>Figyelem! Minden itt megadott alapadat átvezetésre kerül a további munkalapokra, ezért minden esetben ezen munkalap kitöltésével kezdjen!</t>
  </si>
  <si>
    <t>III.                  Nyilatkozatok</t>
  </si>
  <si>
    <t>Töltse ki a szerződő felek adatait a Megrendelő és Vállalkozó részéről. A Megrendelő kizárólag a kölcsönügyletben adósként szereplő személy lehet, ezért a Megrendelő neve adat automatikusan töltődik a 01_Költségvetés munkalapról.</t>
  </si>
  <si>
    <t>A megvalósítási helyszín adatát a Költségvetés munkalapról automatikusan átemeli a cella. A felújítási munkák teljesítésének a határideje az a nap, amikor az utolsó munkálat is elvégzésre kerül.</t>
  </si>
  <si>
    <t>Kizárólag ezen színnel kiemelt mezők kitöltését várjuk. Amint kitölti a megjelölt mezőt, a cella színe fehérre vált.</t>
  </si>
  <si>
    <t>Minden nyilatkozat végén válassza ki a legördülő menüből a kivitelező a megfelelő választ a beruházás tartalmára, az árajánlatra, a megvalósítási helyszínére és a beépítendő eszközökre vonatkozóan. Hibaüzenet jelzi, amennyiben olyan választ ad a kérdésre, amivel a "Nem" válasszal a kölcsönkérelem nem nyújtható be.</t>
  </si>
  <si>
    <t xml:space="preserve">Ezen munkalapon szükséges rögzíteni azokat az előkészítés költségeit, az egyéb költségeket és az olyan alapanyag beszerzéseket, melyek nem a kivitelezőn keresztül történnek, de a projekt részét képezik. Fontos, hogy egy típusú tevékenységez csak akkor tartozhat alapanyag beszerzés, amennyiben ahhoz valamely vállalkozási szerződés munkalapon munkadíj is kapcsolódik. </t>
  </si>
  <si>
    <t>Kérjük, nyilatkozzon a felsorolt állítások kapcsán a legördülő menüben az "Igen"," Nem", illetve a "Nem releváns"  válasz megjelölésével.</t>
  </si>
  <si>
    <r>
      <rPr>
        <b/>
        <sz val="11"/>
        <color theme="3"/>
        <rFont val="Calibri"/>
        <family val="2"/>
        <charset val="238"/>
        <scheme val="minor"/>
      </rPr>
      <t xml:space="preserve">1. </t>
    </r>
    <r>
      <rPr>
        <sz val="11"/>
        <rFont val="Calibri"/>
        <family val="2"/>
        <charset val="238"/>
        <scheme val="minor"/>
      </rPr>
      <t>A projekt valamennyi költsége vonatkozásában rendelkezem/rendelkezünk megkötött (feltételesen hatályos) érvényes szerződéssel, vagy árajánlattal, kivéve azon költségelemeket, melyek esetében a Lakossági Eljárási Rend értelmében nem szükséges szerződést vagy árajánlatot benyújtani a piaci ár alátámasztására.</t>
    </r>
  </si>
  <si>
    <t>Vállalkozási szerződés</t>
  </si>
  <si>
    <t>A táblázat adatai a kitöltött vállalkozási szerződés(ek)ből és amennyiben releváns, úgy a saját beszerzés munkalapról emelik át az adatokat, ezért itt további adatot nem szükséges megadni. A táblázat kitöltése akkor tekinthető teljesnek, amikor a 02-es és a 03-as munkafüzetlapok is teljeskörűen kitöltésre kerülnek, tehát több vállalkozó esetén ugyanabban a dokumentumban kitöltésre kerülnek a korszerűsítés költségvetését érintő összegek.</t>
  </si>
  <si>
    <t>Kérjük, a teljes kitöltést követően  írja alá a kinyomtatott dokumentumot. Felhívjuk a figyelmét, hogy csak akkor nyomtassa ki a dokumentumot, ha a vállalkozási szerződés(ek) és saját beszerzés esetén a 03-as munkafüzetlap is kitöltésre került.</t>
  </si>
  <si>
    <t xml:space="preserve">Felek rögzítik, hogy a jelen szerződésben foglalt műszaki tartalom megvalósítása (beleértve a beépítésre kerülő anyagok / berendezések beszerzését is), a kapcsolódó Kölcsönkérelem benyújtását megelőzően nem kezdődött meg és a tervezett projektmegvalósítási határidőig megtörténik.
A Vállakozó jelen szerződésben foglalt műszaki tartalom megvalósítása kapcsán a Megrendelővel a következőkben állapodik meg: </t>
  </si>
  <si>
    <t xml:space="preserve">Jelen szerződés I. pontjában megjelölt ingatlan vonatkozásában a Megrendelő jelen szerződés alapján megrendeli a Vállalkozótól, a Vállalkozó pedig vállalja – a Lakossági Eljárási Rend alapján benyújtásra kerülő Felhívásban foglalt –  a vállalkozói szerződés 1. számú mellékletében felsorolt műszaki tartalom megvalósítását.
A Megrendelő kötelezettséget vállal a jelen szerződés alapján elvégzett munka átvételére és a vállalkozói díj megfizetésére.
A Vállalkozói szerződés jelen pontjában rögzített táblázatban foglalt műszaki tartalommal, valamint a Lakossági Eljárási Rendben foglaltakkal összhangban tételes árazott költségvetés kiállításra, illetve a Megrendelő részére átadásra kerül. 
A tételes, árazott költségvetésnek alkalmasnak kell lennie a felhívásban rögzített műszaki követelmények, illetve a fajlagos költségkorlátok ellenőrzésére.
A Vállakozó vállalja, hogy az energetikai korszerűsítés eredményeként a beruházás megvalósítást megelőző fejlesztés előtti (kiinduló) állapothoz képest az ingatlan elsődleges (primer) energiafogyasztása legalább 30%-os  mértékű csökkenést ér el. (Amennyiben a szerződéssel érintett projekt megvalósításában több kivitelező vesz részt, úgy a legalább 30%-os energiamegtakarítás elérése együttes közreműködésükre értendő.) Megrendelő vállalja, hogy a 30%-os mértékű elsődleges (primer) energiafogyasztás csökkenést Hiteles Energetikai Tanúsítvánnyal köteles alátámasztani. </t>
  </si>
  <si>
    <r>
      <t xml:space="preserve">Munkavégzés megkezdésének várható időpontja </t>
    </r>
    <r>
      <rPr>
        <sz val="8"/>
        <rFont val="Calibri"/>
        <family val="2"/>
        <charset val="238"/>
        <scheme val="minor"/>
      </rPr>
      <t>(formátum: éééé.hh.)</t>
    </r>
  </si>
  <si>
    <r>
      <t xml:space="preserve">Munkavégzés befejezésének várható időpontja </t>
    </r>
    <r>
      <rPr>
        <sz val="8"/>
        <rFont val="Calibri"/>
        <family val="2"/>
        <charset val="238"/>
        <scheme val="minor"/>
      </rPr>
      <t>(formátum: éééé.hh.)</t>
    </r>
  </si>
  <si>
    <t>2. A költségek meghatározását és a szükséges engedélyek megadását a megvalósítás helyszínén végzett helyszíni felmérések, valamint a rendelkezésre álló tervrajzok, műszaki adatok alapján határoztuk meg.</t>
  </si>
  <si>
    <r>
      <t xml:space="preserve">4. A  (feltételesen hatályos)  vállalkozási szerződésben a műszaki tartalom részletezése során a Felhívásban nevesített támogatható tevékenységek és az ahhoz kapcsolódó elszámolható költségek, valamint az </t>
    </r>
    <r>
      <rPr>
        <b/>
        <sz val="10"/>
        <rFont val="Calibri"/>
        <family val="2"/>
        <charset val="238"/>
        <scheme val="minor"/>
      </rPr>
      <t>ingatlan bővítésével, átalakításával vagy átépítésével kapcsolatos</t>
    </r>
    <r>
      <rPr>
        <sz val="10"/>
        <rFont val="Calibri"/>
        <family val="2"/>
        <charset val="238"/>
        <scheme val="minor"/>
      </rPr>
      <t xml:space="preserve"> nem elszámolható költségek és egyéb nem támogatható tevékenységek elkülönítve kerülnek feltüntetésre.</t>
    </r>
  </si>
  <si>
    <r>
      <t>3. A megvalósítás helyszínén végzett helyszíni felmérések során olyan</t>
    </r>
    <r>
      <rPr>
        <b/>
        <sz val="10"/>
        <rFont val="Calibri"/>
        <family val="2"/>
        <charset val="238"/>
        <scheme val="minor"/>
      </rPr>
      <t xml:space="preserve"> szerkezeti hibát, problémát nem fedeztünk fel</t>
    </r>
    <r>
      <rPr>
        <sz val="10"/>
        <rFont val="Calibri"/>
        <family val="2"/>
        <charset val="238"/>
        <scheme val="minor"/>
      </rPr>
      <t xml:space="preserve">, mely az épület állékonysági problémájára utalna, beleértve ebbe a tartószerkezet megfelelőségének vizsgálatát is. </t>
    </r>
  </si>
  <si>
    <r>
      <t xml:space="preserve">5. A </t>
    </r>
    <r>
      <rPr>
        <b/>
        <sz val="10"/>
        <rFont val="Calibri"/>
        <family val="2"/>
        <charset val="238"/>
        <scheme val="minor"/>
      </rPr>
      <t>beépíteni kívánt eszközök megfelelnek</t>
    </r>
    <r>
      <rPr>
        <sz val="10"/>
        <rFont val="Calibri"/>
        <family val="2"/>
        <charset val="238"/>
        <scheme val="minor"/>
      </rPr>
      <t xml:space="preserve"> a vonatkozó európai irányelveknek, szabványoknak, illetve az azokat harmonizáló magyar rendeleteknek, szabványoknak, környezetvédelmi előírásoknak. A beépítésre kerülő, megújuló energiát hasznosító rendszerek megfelelnek továbbá a megújuló energiát termelő berendezések és rendszerek beszerzéséhez és működtetéséhez nyújtott támogatások igénybevételének műszaki követelményeiről szóló 55/2016. (XII. 21.) NFM rendeletben foglalt előírásoknak, továbbá a beépítésre javasolt energiatermelő berendezés(ek) alkalmas(ak) a beruházással érintett épület(ek) energiaellátásának folyamatos és környezetkímélő biztosítására.</t>
    </r>
  </si>
  <si>
    <r>
      <t xml:space="preserve">6. A beépítendő </t>
    </r>
    <r>
      <rPr>
        <b/>
        <sz val="10"/>
        <rFont val="Calibri"/>
        <family val="2"/>
        <charset val="238"/>
        <scheme val="minor"/>
      </rPr>
      <t>építési termékek és szerkezetek tűzvédelmi</t>
    </r>
    <r>
      <rPr>
        <sz val="10"/>
        <rFont val="Calibri"/>
        <family val="2"/>
        <charset val="238"/>
        <scheme val="minor"/>
      </rPr>
      <t xml:space="preserve"> [az Országos Tűzvédelmi Szabályzatról szóló 54/2014. (XII. 5.) BM rendelet alapján], </t>
    </r>
    <r>
      <rPr>
        <b/>
        <sz val="10"/>
        <rFont val="Calibri"/>
        <family val="2"/>
        <charset val="238"/>
        <scheme val="minor"/>
      </rPr>
      <t xml:space="preserve">valamint minőségi megfelelősége </t>
    </r>
    <r>
      <rPr>
        <sz val="10"/>
        <rFont val="Calibri"/>
        <family val="2"/>
        <charset val="238"/>
        <scheme val="minor"/>
      </rPr>
      <t>[az építési termék építménybe történő betervezésének és beépítésének, ennek során a teljesítmény igazolásának részletes szabályairól szóló 275/2013. (VII. 16.) Korm. rendelet szerinti teljesítménynyilatkozat bemutatásával] igazolható.</t>
    </r>
  </si>
  <si>
    <r>
      <t>7. A Projektben elszámolható költségként megjelölt, a</t>
    </r>
    <r>
      <rPr>
        <b/>
        <sz val="10"/>
        <rFont val="Calibri"/>
        <family val="2"/>
        <charset val="238"/>
        <scheme val="minor"/>
      </rPr>
      <t xml:space="preserve"> korszerűsítés során felhasználásra kerülő alapanyagok</t>
    </r>
    <r>
      <rPr>
        <sz val="10"/>
        <rFont val="Calibri"/>
        <family val="2"/>
        <charset val="238"/>
        <scheme val="minor"/>
      </rPr>
      <t xml:space="preserve"> - amelyek a Felhívás szerint kulcsterméknek minősülnek - </t>
    </r>
    <r>
      <rPr>
        <b/>
        <sz val="10"/>
        <rFont val="Calibri"/>
        <family val="2"/>
        <charset val="238"/>
        <scheme val="minor"/>
      </rPr>
      <t>szerepelnek  ofp.emi.hu honlapon található Építési Kulcstermékek adatbázisában</t>
    </r>
    <r>
      <rPr>
        <sz val="10"/>
        <rFont val="Calibri"/>
        <family val="2"/>
        <charset val="238"/>
        <scheme val="minor"/>
      </rPr>
      <t>.</t>
    </r>
  </si>
  <si>
    <r>
      <t xml:space="preserve">8. A </t>
    </r>
    <r>
      <rPr>
        <b/>
        <sz val="10"/>
        <rFont val="Calibri"/>
        <family val="2"/>
        <charset val="238"/>
        <scheme val="minor"/>
      </rPr>
      <t>beszerezni kívánt anyagokat hivatalos forgalmazással üzletszerűen foglalkozó kereskedőtől vagy gyártónak minősülő szállítótól</t>
    </r>
    <r>
      <rPr>
        <sz val="10"/>
        <rFont val="Calibri"/>
        <family val="2"/>
        <charset val="238"/>
        <scheme val="minor"/>
      </rPr>
      <t>, vagy a Kölcsönigénylő által (aki szintén az érintett anyagok kereskedelmi forgalmával üzletszerűen foglalkozó, hivatalos forgalmazójától, vagy gyártónak minősülő szállítójától szerzi be)</t>
    </r>
    <r>
      <rPr>
        <b/>
        <sz val="10"/>
        <rFont val="Calibri"/>
        <family val="2"/>
        <charset val="238"/>
        <scheme val="minor"/>
      </rPr>
      <t xml:space="preserve"> szerezzük be</t>
    </r>
    <r>
      <rPr>
        <sz val="10"/>
        <rFont val="Calibri"/>
        <family val="2"/>
        <charset val="238"/>
        <scheme val="minor"/>
      </rPr>
      <t>, a piacon szokványos jótállási és szavatossági feltételek biztosítása mellett.</t>
    </r>
  </si>
  <si>
    <r>
      <t xml:space="preserve">1. Megismertem az épület korszerűsítésére (tervezett állapotra) vonatkozó 9/2023. (V. 25.) ÉKM rendelet alapján elkészített energetikai tanúsítvány megalapozó számításban foglalt elvárt műszaki tartalmat és az építési tevékenységet ennek megfelelően végzem el. </t>
    </r>
    <r>
      <rPr>
        <b/>
        <sz val="10"/>
        <rFont val="Calibri"/>
        <family val="2"/>
        <charset val="238"/>
        <scheme val="minor"/>
      </rPr>
      <t>A műszaki tartalommal kapcsolatban szakmai aggály nem merült fel.</t>
    </r>
  </si>
  <si>
    <r>
      <t>Vállalkozói előlegbekérő/díjbekérő kiállításra kerül</t>
    </r>
    <r>
      <rPr>
        <sz val="8"/>
        <rFont val="Calibri"/>
        <family val="2"/>
        <charset val="238"/>
        <scheme val="minor"/>
      </rPr>
      <t xml:space="preserve"> (Igen/Nem)</t>
    </r>
  </si>
  <si>
    <t>Ezen mezőket ne töltse ki! A vállalkozási szerződésben és a saját beszerzés táblázatában lehetnek ilyen jelölésű mezők, amennyiben a 01_Költségvetés lapon nem jelölte az adott megvalósítandó fejlesztést vagy a 03_Saját beszerzésnél nem írhat az adott cellába (pl. korszerűsítési munkadíj vagy az előkészítés költségeinél anyagköltség)</t>
  </si>
  <si>
    <r>
      <rPr>
        <b/>
        <sz val="10"/>
        <rFont val="Calibri"/>
        <family val="2"/>
        <charset val="238"/>
        <scheme val="minor"/>
      </rPr>
      <t>Megvalósítási helyszín pontos címe</t>
    </r>
    <r>
      <rPr>
        <sz val="10"/>
        <rFont val="Calibri"/>
        <family val="2"/>
        <charset val="238"/>
        <scheme val="minor"/>
      </rPr>
      <t xml:space="preserve">: </t>
    </r>
  </si>
  <si>
    <t>Kérjük adja meg minden, a korszerűsítés szempontjából releváns sor esetében a négyzetméter mennyiségeket. Fontos, hogy minden korszerűsítési tevékenység esetében vizsgálja meg, hogy a vállalkozási szerződésekben megadott négyzetméterek összege nem haladhatja meg az itt megadott mennyiséget. Amennyiben egy korszerűsítési munkálatot egynél több vállalkozó végez, akkor kiemelt figyelemmel adja meg a négyzetméter mennyiséget. (pl. ha a korszerűsítést két kivitelező végzi ugyanazon a területen - más-más tevékenység vonatkozásában -, akkor a vállakozási szerződések négyzetméter mennyiségei nem összegezhetőek).</t>
  </si>
  <si>
    <t>Ez a munkalap tartalmazza a kivitelezővel megkötésre kerülő szerződés szövegét. Amennyiben több kivitelezőt vesz igénybe a projekt megvalósítása folyamán, úgy minden kivitelező esetén külön munkalapot töltsön ki a szerződésmintából. A vállalkozási szerződés műszaki tartalmában szereplő költségvetési adatok automatikusan átemelésre kerülnek a 01_Költségvetés munkalapra. Amennyiben több kivitelező érintett a projekben, úgy az egyes kitöltött vállalkozási szerződések költségvetési adatai összeadódnak a Költségvetés munkalapon - kivéve a négyzetméter adatok.
A programban kizárólag ezen szerződésminta kitöltésével lehet igényelni a finanszírozási összeget.</t>
  </si>
  <si>
    <t xml:space="preserve">Rögzítse a kivitelezés várható ütemezését, illetve hogy a kivitelező előlegbekérő/díjbekérő alapján kívánja-e a szerződéses összeg egy részét számlázni. </t>
  </si>
  <si>
    <t>Rögzítse minden - a kivitelező közreműködésével megvalósuló - tevékenységhez a m2 mennyiségeket, valamint a Nettó és a Bruttó elszámolható költségek összegét megbontva Anyagköltségre és Munkadíjra. A táblázat a rögzített adatok alapján automatikusan számolni fogja a Bruttó fajlagos költségeket (egységárakat) a megadott mennyiségekre vonatkoztatva. Amennyiben valamely költség meghaladja a Felhívásban megadott maximális fajlagos költséget, úgy a cella narancssárga színűre vált. 
A nem elszámolható költségek közé tudja rögzíteni azon tevékenységeket, melyeket szintén ezen kivitelező végez el a szerződés keretében és hozzájárulnak a minimum elvárt primerenergia megtakarításhoz.
Minden ezen műszaki tartalom mellékletben szereplő adat automatikusan átemelésre kerül a 01_Költségvetés munkalap vonatkozó sorára.</t>
  </si>
  <si>
    <t xml:space="preserve">Itt szükséges megadni a megvalósításhoz szükséges hatósági és egyéb engedélyeket (pl: bővítés esetén építési engedély) a kivitelező által, melyet később a Kölcsönigénylőnek szükséges átvezetnie a kölcsönkérelmi nyomtatványba is. </t>
  </si>
  <si>
    <t>A 01_Költségvetés oldalon megadott m2 mennyiség automatikusan átemelődik a Saját beszerzés munkalapra is, tehát a  korszerűsítéssel érintett terület nagyságát ott szükséges megadnia, amelyhez az anyagokat beszerzi és amelyhez a vállalkozó munkadíja kapcsolódik.</t>
  </si>
  <si>
    <t>Saját beszerzésű alapanyagok költségei</t>
  </si>
  <si>
    <t>KEHOP Plusz-4.1.7-24 OTTHONFELÚJÍTÁSI PROGRAM</t>
  </si>
  <si>
    <t>KEHOP Plusz-4.1.7-24  Otthonfelújítási Hitelprogram</t>
  </si>
  <si>
    <r>
      <t xml:space="preserve">a </t>
    </r>
    <r>
      <rPr>
        <b/>
        <sz val="11"/>
        <rFont val="Calibri"/>
        <family val="2"/>
        <charset val="238"/>
        <scheme val="minor"/>
      </rPr>
      <t>KEHOP Plusz-4.1.7-24 kódszámú Otthonfelújítási Program</t>
    </r>
    <r>
      <rPr>
        <sz val="11"/>
        <rFont val="Calibri"/>
        <family val="2"/>
        <charset val="238"/>
        <scheme val="minor"/>
      </rPr>
      <t xml:space="preserve"> Lakossági energiahatékonysági beruházások megvalósításához igénybevételéhez</t>
    </r>
  </si>
  <si>
    <t>A „Otthonfelújítási Program - Lakossági energiahatékonysági beruházások megvalósításához” című (KEHOP Plusz 4.1.7-24 kódszámú) Felhíváshoz (a továbbiakban: Felhívás) kapcsolódó Európai Uniós forrású Lakossági Hitelprogramok Eljárási Rendjének (a továbbiakban Lakossági Eljárási Rend) keretében benyújtásra kerülő kölcsönkérelembe foglalt, jelen szerződésben részletezett műszaki tartalom hatályos jogszabályoknak megfelelő módon történő megvalósítása az alábbi ingatlanon:</t>
  </si>
  <si>
    <t>Munkadíj</t>
  </si>
  <si>
    <t>Bruttó költség összesen</t>
  </si>
  <si>
    <t>A korszerűsítés elszámolható költségei</t>
  </si>
  <si>
    <t>Összesen</t>
  </si>
  <si>
    <t xml:space="preserve">Használati melegvizet előállító napkollektor telepítése </t>
  </si>
  <si>
    <t>síkkollektor</t>
  </si>
  <si>
    <t>vákuumcsöves kollektor</t>
  </si>
  <si>
    <t>Redőny</t>
  </si>
  <si>
    <t>aluminium</t>
  </si>
  <si>
    <t>Lamellás külső árnyékolók (zsaluziák)</t>
  </si>
  <si>
    <r>
      <rPr>
        <b/>
        <u/>
        <sz val="10"/>
        <rFont val="Calibri"/>
        <family val="2"/>
        <charset val="238"/>
        <scheme val="minor"/>
      </rPr>
      <t>Minden</t>
    </r>
    <r>
      <rPr>
        <sz val="10"/>
        <rFont val="Calibri"/>
        <family val="2"/>
        <charset val="238"/>
        <scheme val="minor"/>
      </rPr>
      <t xml:space="preserve"> tevékenység (pl. Hőszigetelés, Nyílászáró csere,… stb.) melletti cellában válassza ki a legördülő menüből, hogy milyen tevékenység(ek)et fog megvalósítani a fejlesztés során! Fontos, hogy minden tevékenység alatti mezőt töltsön ki (igen/nem).  A tábla figyelmeztető jelzést ír ki, amennyiben a projekt árnyékoló mellett nem tartalmaz szigetelést vagy nyílászáró felújítást.</t>
    </r>
  </si>
  <si>
    <t xml:space="preserve">Adja meg m2-ben a szigetelni kívánt felületek területét típusonként. Írja be a mennyiségekhez tartozó Nettó és Bruttó elszámolható költséget megbontva Anyagköltségre és Munkadíjra! </t>
  </si>
  <si>
    <t xml:space="preserve">Rögzítse a nyílászáró korszerűsítés esetében típusonként a m2 adatokat, majd  a nettó és bruttó költségeket az Anyagra és a Munkadíjra vonatkozóan. </t>
  </si>
  <si>
    <t xml:space="preserve">Rögzítse a nettó és bruttó költségeket az Anyagköltségre és a Munkadíjra vonatkozóan. </t>
  </si>
  <si>
    <t xml:space="preserve">Rögzítse a  Nettó és Bruttó elszámolható költséget.  </t>
  </si>
  <si>
    <t>Rögzítse minden saját beszerzés keretében megvásárolt alapanyag esetén a Nettó és a Bruttó elszámolható költségek összegét. Fontos, hogy a fentiekben említett m2 mennyiségek rögzítésre kerüljenek a 01_Költségvetés oldalon. 
Ezen a lapon tudja továbbá feltüntetni a projekt előkészítési költségeit, valamint az egyéb költségeket is, melyekbe tartoznak például a hiteles energetikai tanúsítvány díjai, a tulajdoni lap költsége, a közjegyzői díj stb. 
A nem elszámolható költségek közé tudja rögzíteni azon tevékenységeket, melyek hozzájárulnak a minimum elvárt primerenergia megtakarításhoz.</t>
  </si>
  <si>
    <t xml:space="preserve">Rögzítse a  Nettó és Bruttó elszámolható költséget. </t>
  </si>
  <si>
    <r>
      <rPr>
        <b/>
        <sz val="12"/>
        <color theme="3"/>
        <rFont val="Calibri"/>
        <family val="2"/>
        <charset val="238"/>
        <scheme val="minor"/>
      </rPr>
      <t>L.</t>
    </r>
    <r>
      <rPr>
        <b/>
        <sz val="12"/>
        <rFont val="Calibri"/>
        <family val="2"/>
        <charset val="238"/>
        <scheme val="minor"/>
      </rPr>
      <t xml:space="preserve"> </t>
    </r>
    <r>
      <rPr>
        <b/>
        <sz val="10"/>
        <rFont val="Calibri"/>
        <family val="2"/>
        <charset val="238"/>
        <scheme val="minor"/>
      </rPr>
      <t>Nem elszámolható költségek</t>
    </r>
  </si>
  <si>
    <r>
      <rPr>
        <b/>
        <sz val="10"/>
        <color theme="3"/>
        <rFont val="Calibri"/>
        <family val="2"/>
        <charset val="238"/>
        <scheme val="minor"/>
      </rPr>
      <t>L1.</t>
    </r>
    <r>
      <rPr>
        <sz val="10"/>
        <rFont val="Calibri"/>
        <family val="2"/>
        <charset val="238"/>
        <scheme val="minor"/>
      </rPr>
      <t xml:space="preserve"> Projekten felüli, a beruházás életképes megvalósításához szükséges</t>
    </r>
  </si>
  <si>
    <r>
      <rPr>
        <b/>
        <sz val="10"/>
        <color theme="3"/>
        <rFont val="Calibri"/>
        <family val="2"/>
        <charset val="238"/>
        <scheme val="minor"/>
      </rPr>
      <t>L2.</t>
    </r>
    <r>
      <rPr>
        <sz val="10"/>
        <rFont val="Calibri"/>
        <family val="2"/>
        <charset val="238"/>
        <scheme val="minor"/>
      </rPr>
      <t xml:space="preserve"> Fajlagos költségen felüli nem elszámolható költségek</t>
    </r>
  </si>
  <si>
    <t>Elszámolható maximális fajlagos költségek</t>
  </si>
  <si>
    <t>Anyagkts.</t>
  </si>
  <si>
    <r>
      <t xml:space="preserve">A mennyiségi (négyzetméter) adatok megadása után kiszámításra kerül az elszámolható költségek mértéke, azaz kitöltésre kerülnek a hitelprogramban elszámolható költségek a Felhívásban megadott fajlagos költséghatárig, s a fajlagos költséghatáron felüli összegek  az el nem számolható költségek megfelelő sorában adódnak össze.
</t>
    </r>
    <r>
      <rPr>
        <b/>
        <sz val="10"/>
        <color theme="3"/>
        <rFont val="Calibri"/>
        <family val="2"/>
        <charset val="238"/>
        <scheme val="minor"/>
      </rPr>
      <t xml:space="preserve">Felhívjuk a figyelmét, </t>
    </r>
    <r>
      <rPr>
        <sz val="10"/>
        <rFont val="Calibri"/>
        <family val="2"/>
        <charset val="238"/>
        <scheme val="minor"/>
      </rPr>
      <t>hogy a fajlagos költséghatáron felüli költségek elszámolható összegének számításakor (amennyiben a nényzetméter nem kerek szám) a kerekítésből adódó összegzési hibák kiküszöbölése érdekében  egész számokra való lekerekítési módszert használunk. Kérjük, hogy a számlákkal való elszámoláskor a számlazáradékolásánál is vegye ezt figyelembe és csak az elszámolható költség erejéig záradékolja a számlát.</t>
    </r>
  </si>
  <si>
    <t>Kérjük, hogy az excelben minden szükséges értéket gépeljen be, ne másolással töltse ki. Amenyiben másolással tölti ki az adatokat, az működési problémákhoz vezethet</t>
  </si>
  <si>
    <t>2025. 10. 15-től</t>
  </si>
  <si>
    <t>2025.10.15-től</t>
  </si>
  <si>
    <t>Nem szükségesek engedélyek.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</si>
</sst>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Ft&quot;_-;\-* #,##0.00\ &quot;Ft&quot;_-;_-* &quot;-&quot;??\ &quot;Ft&quot;_-;_-@_-"/>
    <numFmt numFmtId="164" formatCode="_-* #,##0.00\ _F_t_-;\-* #,##0.00\ _F_t_-;_-* &quot;-&quot;??\ _F_t_-;_-@_-"/>
    <numFmt numFmtId="165" formatCode="#,##0.00\ &quot;Ft&quot;"/>
    <numFmt numFmtId="166" formatCode="yyyy/mm/"/>
  </numFmts>
  <fonts count="48" x14ac:knownFonts="1">
    <font>
      <sz val="11"/>
      <color theme="1"/>
      <name val="Calibri"/>
      <family val="2"/>
      <charset val="238"/>
      <scheme val="minor"/>
    </font>
    <font>
      <sz val="11"/>
      <name val="Calibri"/>
      <family val="2"/>
      <charset val="238"/>
      <scheme val="minor"/>
    </font>
    <font>
      <b/>
      <sz val="11"/>
      <name val="Calibri"/>
      <family val="2"/>
      <charset val="238"/>
      <scheme val="minor"/>
    </font>
    <font>
      <sz val="10"/>
      <name val="Calibri"/>
      <family val="2"/>
      <charset val="238"/>
      <scheme val="minor"/>
    </font>
    <font>
      <sz val="12"/>
      <name val="Arial"/>
      <family val="2"/>
      <charset val="238"/>
    </font>
    <font>
      <sz val="10"/>
      <name val="Arial"/>
      <family val="2"/>
      <charset val="238"/>
    </font>
    <font>
      <sz val="11"/>
      <color theme="1"/>
      <name val="Calibri"/>
      <family val="2"/>
      <charset val="238"/>
      <scheme val="minor"/>
    </font>
    <font>
      <sz val="10"/>
      <name val="Arial CE"/>
      <charset val="238"/>
    </font>
    <font>
      <b/>
      <sz val="10"/>
      <name val="Calibri"/>
      <family val="2"/>
      <charset val="238"/>
      <scheme val="minor"/>
    </font>
    <font>
      <sz val="10"/>
      <color theme="1"/>
      <name val="Calibri"/>
      <family val="2"/>
      <charset val="238"/>
      <scheme val="minor"/>
    </font>
    <font>
      <b/>
      <sz val="14"/>
      <color theme="0"/>
      <name val="Calibri"/>
      <family val="2"/>
      <charset val="238"/>
      <scheme val="minor"/>
    </font>
    <font>
      <b/>
      <sz val="11"/>
      <color theme="5" tint="-0.249977111117893"/>
      <name val="Calibri"/>
      <family val="2"/>
      <charset val="238"/>
      <scheme val="minor"/>
    </font>
    <font>
      <sz val="10"/>
      <color theme="5" tint="-0.499984740745262"/>
      <name val="Calibri"/>
      <family val="2"/>
      <charset val="238"/>
      <scheme val="minor"/>
    </font>
    <font>
      <b/>
      <sz val="11"/>
      <color theme="5" tint="-0.499984740745262"/>
      <name val="Calibri"/>
      <family val="2"/>
      <charset val="238"/>
      <scheme val="minor"/>
    </font>
    <font>
      <b/>
      <sz val="12"/>
      <color theme="5" tint="-0.499984740745262"/>
      <name val="Calibri"/>
      <family val="2"/>
      <charset val="238"/>
      <scheme val="minor"/>
    </font>
    <font>
      <sz val="12"/>
      <color theme="5" tint="-0.499984740745262"/>
      <name val="Calibri"/>
      <family val="2"/>
      <charset val="238"/>
      <scheme val="minor"/>
    </font>
    <font>
      <b/>
      <sz val="10"/>
      <color theme="5" tint="-0.499984740745262"/>
      <name val="Calibri"/>
      <family val="2"/>
      <charset val="238"/>
      <scheme val="minor"/>
    </font>
    <font>
      <b/>
      <sz val="11"/>
      <color theme="3"/>
      <name val="Calibri"/>
      <family val="2"/>
      <charset val="238"/>
      <scheme val="minor"/>
    </font>
    <font>
      <b/>
      <sz val="10"/>
      <color theme="0"/>
      <name val="Calibri"/>
      <family val="2"/>
      <charset val="238"/>
      <scheme val="minor"/>
    </font>
    <font>
      <b/>
      <sz val="10"/>
      <color theme="3"/>
      <name val="Calibri"/>
      <family val="2"/>
      <charset val="238"/>
      <scheme val="minor"/>
    </font>
    <font>
      <b/>
      <sz val="10"/>
      <color theme="5" tint="-0.249977111117893"/>
      <name val="Calibri"/>
      <family val="2"/>
      <charset val="238"/>
      <scheme val="minor"/>
    </font>
    <font>
      <sz val="11"/>
      <color rgb="FFFF0000"/>
      <name val="Calibri"/>
      <family val="2"/>
      <charset val="238"/>
      <scheme val="minor"/>
    </font>
    <font>
      <sz val="11"/>
      <color theme="5" tint="-0.499984740745262"/>
      <name val="Calibri"/>
      <family val="2"/>
      <charset val="238"/>
      <scheme val="minor"/>
    </font>
    <font>
      <sz val="11"/>
      <color theme="4"/>
      <name val="Calibri"/>
      <family val="2"/>
      <charset val="238"/>
      <scheme val="minor"/>
    </font>
    <font>
      <b/>
      <sz val="12"/>
      <color theme="3"/>
      <name val="Calibri"/>
      <family val="2"/>
      <charset val="238"/>
      <scheme val="minor"/>
    </font>
    <font>
      <b/>
      <sz val="18"/>
      <color theme="3"/>
      <name val="Calibri"/>
      <family val="2"/>
      <charset val="238"/>
      <scheme val="minor"/>
    </font>
    <font>
      <b/>
      <sz val="14"/>
      <color theme="5" tint="-0.499984740745262"/>
      <name val="Calibri"/>
      <family val="2"/>
      <charset val="238"/>
      <scheme val="minor"/>
    </font>
    <font>
      <sz val="14"/>
      <color theme="5" tint="-0.499984740745262"/>
      <name val="Calibri"/>
      <family val="2"/>
      <charset val="238"/>
      <scheme val="minor"/>
    </font>
    <font>
      <b/>
      <sz val="16"/>
      <color theme="1"/>
      <name val="Calibri"/>
      <family val="2"/>
      <charset val="238"/>
      <scheme val="minor"/>
    </font>
    <font>
      <sz val="8"/>
      <color theme="5" tint="-0.249977111117893"/>
      <name val="Calibri"/>
      <family val="2"/>
      <charset val="238"/>
      <scheme val="minor"/>
    </font>
    <font>
      <sz val="11"/>
      <color theme="5" tint="-0.249977111117893"/>
      <name val="Calibri"/>
      <family val="2"/>
      <charset val="238"/>
      <scheme val="minor"/>
    </font>
    <font>
      <b/>
      <sz val="12"/>
      <name val="Calibri"/>
      <family val="2"/>
      <charset val="238"/>
      <scheme val="minor"/>
    </font>
    <font>
      <vertAlign val="superscript"/>
      <sz val="10"/>
      <name val="Calibri"/>
      <family val="2"/>
      <charset val="238"/>
      <scheme val="minor"/>
    </font>
    <font>
      <b/>
      <sz val="14"/>
      <name val="Calibri"/>
      <family val="2"/>
      <charset val="238"/>
      <scheme val="minor"/>
    </font>
    <font>
      <sz val="10"/>
      <color theme="3"/>
      <name val="Calibri"/>
      <family val="2"/>
      <charset val="238"/>
      <scheme val="minor"/>
    </font>
    <font>
      <b/>
      <sz val="10"/>
      <name val="Calibri"/>
      <family val="2"/>
      <charset val="238"/>
    </font>
    <font>
      <b/>
      <sz val="13"/>
      <name val="Calibri"/>
      <family val="2"/>
      <charset val="238"/>
    </font>
    <font>
      <sz val="10"/>
      <name val="Calibri"/>
      <family val="2"/>
      <charset val="238"/>
    </font>
    <font>
      <sz val="9"/>
      <name val="Calibri"/>
      <family val="2"/>
      <charset val="238"/>
      <scheme val="minor"/>
    </font>
    <font>
      <sz val="8"/>
      <name val="Calibri"/>
      <family val="2"/>
      <charset val="238"/>
      <scheme val="minor"/>
    </font>
    <font>
      <sz val="14"/>
      <name val="Calibri"/>
      <family val="2"/>
      <charset val="238"/>
      <scheme val="minor"/>
    </font>
    <font>
      <sz val="12"/>
      <name val="Calibri"/>
      <family val="2"/>
      <charset val="238"/>
      <scheme val="minor"/>
    </font>
    <font>
      <b/>
      <sz val="9"/>
      <color theme="5" tint="-0.499984740745262"/>
      <name val="Calibri"/>
      <family val="2"/>
      <charset val="238"/>
      <scheme val="minor"/>
    </font>
    <font>
      <b/>
      <u/>
      <sz val="10"/>
      <name val="Calibri"/>
      <family val="2"/>
      <charset val="238"/>
      <scheme val="minor"/>
    </font>
    <font>
      <sz val="10"/>
      <color theme="4"/>
      <name val="Calibri"/>
      <family val="2"/>
      <charset val="238"/>
      <scheme val="minor"/>
    </font>
    <font>
      <b/>
      <sz val="10"/>
      <color theme="4"/>
      <name val="Calibri"/>
      <family val="2"/>
      <charset val="238"/>
      <scheme val="minor"/>
    </font>
    <font>
      <b/>
      <sz val="16"/>
      <color theme="3"/>
      <name val="Calibri"/>
      <family val="2"/>
      <charset val="238"/>
      <scheme val="minor"/>
    </font>
    <font>
      <sz val="11"/>
      <color indexed="56"/>
      <name val="Calibri"/>
      <family val="2"/>
      <charset val="238"/>
      <scheme val="minor"/>
    </font>
  </fonts>
  <fills count="12">
    <fill>
      <patternFill patternType="none"/>
    </fill>
    <fill>
      <patternFill patternType="gray125"/>
    </fill>
    <fill>
      <patternFill patternType="solid">
        <fgColor theme="0"/>
        <bgColor indexed="64"/>
      </patternFill>
    </fill>
    <fill>
      <patternFill patternType="solid">
        <fgColor theme="0"/>
        <bgColor auto="1"/>
      </patternFill>
    </fill>
    <fill>
      <patternFill patternType="solid">
        <fgColor theme="0" tint="-0.14999847407452621"/>
        <bgColor indexed="64"/>
      </patternFill>
    </fill>
    <fill>
      <patternFill patternType="solid">
        <fgColor theme="3"/>
        <bgColor indexed="64"/>
      </patternFill>
    </fill>
    <fill>
      <patternFill patternType="solid">
        <fgColor theme="3" tint="0.39997558519241921"/>
        <bgColor indexed="64"/>
      </patternFill>
    </fill>
    <fill>
      <patternFill patternType="solid">
        <fgColor theme="5" tint="0.59999389629810485"/>
        <bgColor indexed="64"/>
      </patternFill>
    </fill>
    <fill>
      <patternFill patternType="gray0625"/>
    </fill>
    <fill>
      <patternFill patternType="gray0625">
        <bgColor theme="0"/>
      </patternFill>
    </fill>
    <fill>
      <patternFill patternType="solid">
        <fgColor theme="3" tint="0.79995117038483843"/>
        <bgColor indexed="64"/>
      </patternFill>
    </fill>
    <fill>
      <patternFill patternType="solid">
        <fgColor rgb="FFFFFF00"/>
        <bgColor indexed="64"/>
      </patternFill>
    </fill>
  </fills>
  <borders count="79">
    <border>
      <left/>
      <right/>
      <top/>
      <bottom/>
      <diagonal/>
    </border>
    <border>
      <left style="thin">
        <color theme="5" tint="-0.24994659260841701"/>
      </left>
      <right/>
      <top style="thin">
        <color theme="5" tint="-0.24994659260841701"/>
      </top>
      <bottom style="thin">
        <color theme="5" tint="-0.24994659260841701"/>
      </bottom>
      <diagonal/>
    </border>
    <border>
      <left/>
      <right style="thin">
        <color theme="5" tint="-0.24994659260841701"/>
      </right>
      <top style="thin">
        <color theme="5" tint="-0.24994659260841701"/>
      </top>
      <bottom style="thin">
        <color theme="5" tint="-0.24994659260841701"/>
      </bottom>
      <diagonal/>
    </border>
    <border>
      <left style="medium">
        <color theme="3" tint="0.39994506668294322"/>
      </left>
      <right style="thin">
        <color theme="3" tint="0.39994506668294322"/>
      </right>
      <top style="medium">
        <color theme="3" tint="0.39994506668294322"/>
      </top>
      <bottom style="thin">
        <color theme="3" tint="0.39994506668294322"/>
      </bottom>
      <diagonal/>
    </border>
    <border>
      <left style="thin">
        <color theme="3" tint="0.39994506668294322"/>
      </left>
      <right style="medium">
        <color theme="3" tint="0.39994506668294322"/>
      </right>
      <top style="medium">
        <color theme="3" tint="0.39994506668294322"/>
      </top>
      <bottom style="thin">
        <color theme="3" tint="0.39994506668294322"/>
      </bottom>
      <diagonal/>
    </border>
    <border>
      <left style="medium">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medium">
        <color theme="3" tint="0.39994506668294322"/>
      </right>
      <top style="thin">
        <color theme="3" tint="0.39994506668294322"/>
      </top>
      <bottom style="thin">
        <color theme="3" tint="0.39994506668294322"/>
      </bottom>
      <diagonal/>
    </border>
    <border>
      <left style="thin">
        <color theme="5" tint="-0.24994659260841701"/>
      </left>
      <right/>
      <top style="thin">
        <color theme="5" tint="-0.24994659260841701"/>
      </top>
      <bottom/>
      <diagonal/>
    </border>
    <border>
      <left/>
      <right style="thin">
        <color theme="5" tint="-0.24994659260841701"/>
      </right>
      <top style="thin">
        <color theme="5" tint="-0.24994659260841701"/>
      </top>
      <bottom/>
      <diagonal/>
    </border>
    <border>
      <left style="medium">
        <color theme="3" tint="0.39994506668294322"/>
      </left>
      <right/>
      <top style="thin">
        <color theme="3" tint="0.39994506668294322"/>
      </top>
      <bottom style="thin">
        <color theme="3" tint="0.39994506668294322"/>
      </bottom>
      <diagonal/>
    </border>
    <border>
      <left style="thin">
        <color theme="3" tint="0.39994506668294322"/>
      </left>
      <right style="medium">
        <color theme="3" tint="0.39994506668294322"/>
      </right>
      <top style="thin">
        <color theme="3" tint="0.39994506668294322"/>
      </top>
      <bottom/>
      <diagonal/>
    </border>
    <border>
      <left style="medium">
        <color theme="3" tint="0.39994506668294322"/>
      </left>
      <right style="thin">
        <color theme="3" tint="0.39994506668294322"/>
      </right>
      <top style="thin">
        <color theme="3" tint="0.39994506668294322"/>
      </top>
      <bottom/>
      <diagonal/>
    </border>
    <border>
      <left/>
      <right style="medium">
        <color theme="3" tint="0.39994506668294322"/>
      </right>
      <top style="thin">
        <color theme="3" tint="0.39994506668294322"/>
      </top>
      <bottom style="thin">
        <color theme="3" tint="0.39994506668294322"/>
      </bottom>
      <diagonal/>
    </border>
    <border>
      <left style="medium">
        <color theme="5" tint="-0.24994659260841701"/>
      </left>
      <right/>
      <top style="medium">
        <color theme="5" tint="-0.24994659260841701"/>
      </top>
      <bottom/>
      <diagonal/>
    </border>
    <border>
      <left/>
      <right/>
      <top style="medium">
        <color theme="5" tint="-0.24994659260841701"/>
      </top>
      <bottom/>
      <diagonal/>
    </border>
    <border>
      <left/>
      <right/>
      <top/>
      <bottom style="medium">
        <color theme="5" tint="-0.2499465926084170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
      <left/>
      <right/>
      <top/>
      <bottom style="dashed">
        <color auto="1"/>
      </bottom>
      <diagonal/>
    </border>
    <border>
      <left/>
      <right/>
      <top style="dashed">
        <color auto="1"/>
      </top>
      <bottom/>
      <diagonal/>
    </border>
    <border>
      <left/>
      <right/>
      <top style="dashed">
        <color auto="1"/>
      </top>
      <bottom style="dashed">
        <color auto="1"/>
      </bottom>
      <diagonal/>
    </border>
    <border>
      <left style="medium">
        <color theme="5" tint="-0.24994659260841701"/>
      </left>
      <right style="thin">
        <color theme="5" tint="-0.24994659260841701"/>
      </right>
      <top style="medium">
        <color theme="5" tint="-0.24994659260841701"/>
      </top>
      <bottom style="thin">
        <color theme="5" tint="-0.24994659260841701"/>
      </bottom>
      <diagonal/>
    </border>
    <border>
      <left style="thin">
        <color theme="5" tint="-0.24994659260841701"/>
      </left>
      <right style="thin">
        <color theme="5" tint="-0.24994659260841701"/>
      </right>
      <top style="medium">
        <color theme="5" tint="-0.24994659260841701"/>
      </top>
      <bottom style="thin">
        <color theme="5" tint="-0.24994659260841701"/>
      </bottom>
      <diagonal/>
    </border>
    <border>
      <left style="thin">
        <color theme="5" tint="-0.24994659260841701"/>
      </left>
      <right style="medium">
        <color theme="5" tint="-0.24994659260841701"/>
      </right>
      <top style="medium">
        <color theme="5" tint="-0.24994659260841701"/>
      </top>
      <bottom style="thin">
        <color theme="5" tint="-0.24994659260841701"/>
      </bottom>
      <diagonal/>
    </border>
    <border>
      <left style="medium">
        <color theme="5" tint="-0.24994659260841701"/>
      </left>
      <right style="thin">
        <color theme="5" tint="-0.24994659260841701"/>
      </right>
      <top style="thin">
        <color theme="5" tint="-0.24994659260841701"/>
      </top>
      <bottom style="medium">
        <color theme="5" tint="-0.24994659260841701"/>
      </bottom>
      <diagonal/>
    </border>
    <border>
      <left style="thin">
        <color theme="5" tint="-0.24994659260841701"/>
      </left>
      <right style="thin">
        <color theme="5" tint="-0.24994659260841701"/>
      </right>
      <top style="thin">
        <color theme="5" tint="-0.24994659260841701"/>
      </top>
      <bottom style="medium">
        <color theme="5" tint="-0.24994659260841701"/>
      </bottom>
      <diagonal/>
    </border>
    <border>
      <left style="thin">
        <color theme="5" tint="-0.24994659260841701"/>
      </left>
      <right style="medium">
        <color theme="5" tint="-0.24994659260841701"/>
      </right>
      <top style="thin">
        <color theme="5" tint="-0.24994659260841701"/>
      </top>
      <bottom style="medium">
        <color theme="5" tint="-0.24994659260841701"/>
      </bottom>
      <diagonal/>
    </border>
    <border>
      <left style="medium">
        <color theme="5" tint="-0.24994659260841701"/>
      </left>
      <right style="thin">
        <color theme="5" tint="-0.24994659260841701"/>
      </right>
      <top style="thin">
        <color theme="5" tint="-0.24994659260841701"/>
      </top>
      <bottom style="thin">
        <color theme="5" tint="-0.24994659260841701"/>
      </bottom>
      <diagonal/>
    </border>
    <border>
      <left style="thin">
        <color theme="5" tint="-0.24994659260841701"/>
      </left>
      <right style="medium">
        <color theme="5" tint="-0.24994659260841701"/>
      </right>
      <top style="thin">
        <color theme="5" tint="-0.24994659260841701"/>
      </top>
      <bottom style="thin">
        <color theme="5" tint="-0.24994659260841701"/>
      </bottom>
      <diagonal/>
    </border>
    <border>
      <left style="thin">
        <color theme="5" tint="-0.24994659260841701"/>
      </left>
      <right style="thin">
        <color theme="5" tint="-0.24994659260841701"/>
      </right>
      <top style="medium">
        <color theme="5" tint="-0.24994659260841701"/>
      </top>
      <bottom style="medium">
        <color theme="5" tint="-0.24994659260841701"/>
      </bottom>
      <diagonal/>
    </border>
    <border>
      <left style="thin">
        <color theme="5" tint="-0.24994659260841701"/>
      </left>
      <right style="medium">
        <color theme="5" tint="-0.24994659260841701"/>
      </right>
      <top style="medium">
        <color theme="5" tint="-0.24994659260841701"/>
      </top>
      <bottom style="medium">
        <color theme="5" tint="-0.24994659260841701"/>
      </bottom>
      <diagonal/>
    </border>
    <border>
      <left style="thin">
        <color theme="5" tint="-0.24994659260841701"/>
      </left>
      <right/>
      <top style="thin">
        <color theme="5" tint="-0.24994659260841701"/>
      </top>
      <bottom style="medium">
        <color theme="5" tint="-0.24994659260841701"/>
      </bottom>
      <diagonal/>
    </border>
    <border>
      <left/>
      <right style="thin">
        <color theme="5" tint="-0.24994659260841701"/>
      </right>
      <top style="thin">
        <color theme="5" tint="-0.24994659260841701"/>
      </top>
      <bottom style="medium">
        <color theme="5" tint="-0.24994659260841701"/>
      </bottom>
      <diagonal/>
    </border>
    <border>
      <left style="medium">
        <color theme="5" tint="-0.24994659260841701"/>
      </left>
      <right/>
      <top style="medium">
        <color theme="5" tint="-0.24994659260841701"/>
      </top>
      <bottom style="thin">
        <color theme="5" tint="-0.24994659260841701"/>
      </bottom>
      <diagonal/>
    </border>
    <border>
      <left/>
      <right/>
      <top style="medium">
        <color theme="5" tint="-0.24994659260841701"/>
      </top>
      <bottom style="thin">
        <color theme="5" tint="-0.24994659260841701"/>
      </bottom>
      <diagonal/>
    </border>
    <border>
      <left/>
      <right style="thin">
        <color theme="5" tint="-0.24994659260841701"/>
      </right>
      <top style="medium">
        <color theme="5" tint="-0.24994659260841701"/>
      </top>
      <bottom style="thin">
        <color theme="5" tint="-0.24994659260841701"/>
      </bottom>
      <diagonal/>
    </border>
    <border>
      <left style="medium">
        <color theme="5" tint="-0.24994659260841701"/>
      </left>
      <right/>
      <top style="medium">
        <color theme="5" tint="-0.24994659260841701"/>
      </top>
      <bottom style="medium">
        <color theme="5" tint="-0.24994659260841701"/>
      </bottom>
      <diagonal/>
    </border>
    <border>
      <left/>
      <right/>
      <top style="medium">
        <color theme="5" tint="-0.24994659260841701"/>
      </top>
      <bottom style="medium">
        <color theme="5" tint="-0.24994659260841701"/>
      </bottom>
      <diagonal/>
    </border>
    <border>
      <left/>
      <right style="thin">
        <color theme="5" tint="-0.24994659260841701"/>
      </right>
      <top style="medium">
        <color theme="5" tint="-0.24994659260841701"/>
      </top>
      <bottom style="medium">
        <color theme="5" tint="-0.24994659260841701"/>
      </bottom>
      <diagonal/>
    </border>
    <border>
      <left/>
      <right/>
      <top style="thin">
        <color theme="5" tint="-0.24994659260841701"/>
      </top>
      <bottom style="thin">
        <color theme="5" tint="-0.24994659260841701"/>
      </bottom>
      <diagonal/>
    </border>
    <border>
      <left style="medium">
        <color theme="5" tint="-0.24994659260841701"/>
      </left>
      <right/>
      <top style="thin">
        <color theme="5" tint="-0.24994659260841701"/>
      </top>
      <bottom style="thin">
        <color theme="5" tint="-0.24994659260841701"/>
      </bottom>
      <diagonal/>
    </border>
    <border>
      <left style="thin">
        <color theme="5" tint="-0.24994659260841701"/>
      </left>
      <right/>
      <top style="medium">
        <color theme="5" tint="-0.24994659260841701"/>
      </top>
      <bottom style="thin">
        <color theme="5" tint="-0.24994659260841701"/>
      </bottom>
      <diagonal/>
    </border>
    <border>
      <left/>
      <right/>
      <top style="thin">
        <color theme="5" tint="-0.24994659260841701"/>
      </top>
      <bottom/>
      <diagonal/>
    </border>
    <border>
      <left style="thin">
        <color theme="5" tint="-0.24994659260841701"/>
      </left>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theme="5" tint="-0.499984740745262"/>
      </left>
      <right/>
      <top style="thin">
        <color theme="5" tint="-0.499984740745262"/>
      </top>
      <bottom style="thin">
        <color theme="5" tint="-0.499984740745262"/>
      </bottom>
      <diagonal/>
    </border>
    <border>
      <left/>
      <right/>
      <top style="thin">
        <color theme="5" tint="-0.499984740745262"/>
      </top>
      <bottom style="thin">
        <color theme="5" tint="-0.499984740745262"/>
      </bottom>
      <diagonal/>
    </border>
    <border>
      <left/>
      <right style="thin">
        <color theme="5" tint="-0.499984740745262"/>
      </right>
      <top style="thin">
        <color theme="5" tint="-0.499984740745262"/>
      </top>
      <bottom style="thin">
        <color theme="5" tint="-0.499984740745262"/>
      </bottom>
      <diagonal/>
    </border>
    <border>
      <left style="thin">
        <color theme="5" tint="-0.499984740745262"/>
      </left>
      <right/>
      <top style="thin">
        <color theme="5" tint="-0.499984740745262"/>
      </top>
      <bottom/>
      <diagonal/>
    </border>
    <border>
      <left/>
      <right/>
      <top style="thin">
        <color theme="5" tint="-0.499984740745262"/>
      </top>
      <bottom/>
      <diagonal/>
    </border>
    <border>
      <left/>
      <right style="thin">
        <color theme="5" tint="-0.499984740745262"/>
      </right>
      <top style="thin">
        <color theme="5" tint="-0.499984740745262"/>
      </top>
      <bottom/>
      <diagonal/>
    </border>
    <border>
      <left style="thin">
        <color theme="5" tint="-0.24994659260841701"/>
      </left>
      <right/>
      <top/>
      <bottom style="thin">
        <color theme="5" tint="-0.24994659260841701"/>
      </bottom>
      <diagonal/>
    </border>
    <border>
      <left/>
      <right/>
      <top/>
      <bottom style="thin">
        <color theme="5" tint="-0.24994659260841701"/>
      </bottom>
      <diagonal/>
    </border>
    <border>
      <left/>
      <right style="thin">
        <color theme="5" tint="-0.24994659260841701"/>
      </right>
      <top/>
      <bottom style="thin">
        <color theme="5" tint="-0.24994659260841701"/>
      </bottom>
      <diagonal/>
    </border>
    <border>
      <left/>
      <right style="thin">
        <color theme="5" tint="-0.24994659260841701"/>
      </right>
      <top style="medium">
        <color theme="5" tint="-0.24994659260841701"/>
      </top>
      <bottom/>
      <diagonal/>
    </border>
    <border>
      <left style="thin">
        <color theme="5" tint="-0.24994659260841701"/>
      </left>
      <right style="thin">
        <color theme="5" tint="-0.24994659260841701"/>
      </right>
      <top style="medium">
        <color theme="5" tint="-0.24994659260841701"/>
      </top>
      <bottom/>
      <diagonal/>
    </border>
    <border>
      <left style="thin">
        <color theme="5" tint="-0.24994659260841701"/>
      </left>
      <right style="medium">
        <color theme="5" tint="-0.24994659260841701"/>
      </right>
      <top style="medium">
        <color theme="5" tint="-0.24994659260841701"/>
      </top>
      <bottom/>
      <diagonal/>
    </border>
    <border>
      <left/>
      <right style="thin">
        <color theme="5" tint="-0.24994659260841701"/>
      </right>
      <top/>
      <bottom style="thin">
        <color indexed="64"/>
      </bottom>
      <diagonal/>
    </border>
    <border>
      <left style="thin">
        <color theme="5" tint="-0.24994659260841701"/>
      </left>
      <right style="thin">
        <color theme="5" tint="-0.24994659260841701"/>
      </right>
      <top/>
      <bottom style="thin">
        <color indexed="64"/>
      </bottom>
      <diagonal/>
    </border>
    <border>
      <left style="thin">
        <color theme="5" tint="-0.24994659260841701"/>
      </left>
      <right style="thin">
        <color indexed="64"/>
      </right>
      <top/>
      <bottom style="thin">
        <color indexed="64"/>
      </bottom>
      <diagonal/>
    </border>
    <border>
      <left/>
      <right/>
      <top style="thin">
        <color theme="5" tint="-0.24994659260841701"/>
      </top>
      <bottom style="dashed">
        <color auto="1"/>
      </bottom>
      <diagonal/>
    </border>
    <border>
      <left/>
      <right/>
      <top style="thin">
        <color theme="5" tint="-0.24994659260841701"/>
      </top>
      <bottom style="medium">
        <color theme="5" tint="-0.24994659260841701"/>
      </bottom>
      <diagonal/>
    </border>
    <border>
      <left style="thin">
        <color theme="5" tint="-0.24994659260841701"/>
      </left>
      <right style="thin">
        <color theme="5" tint="-0.24994659260841701"/>
      </right>
      <top/>
      <bottom style="thin">
        <color theme="5" tint="-0.24994659260841701"/>
      </bottom>
      <diagonal/>
    </border>
    <border>
      <left style="thin">
        <color theme="3" tint="0.39994506668294322"/>
      </left>
      <right style="medium">
        <color theme="3" tint="0.39994506668294322"/>
      </right>
      <top/>
      <bottom/>
      <diagonal/>
    </border>
    <border>
      <left style="thin">
        <color theme="5" tint="-0.24994659260841701"/>
      </left>
      <right style="thin">
        <color theme="5" tint="-0.24994659260841701"/>
      </right>
      <top style="thin">
        <color theme="5" tint="-0.24994659260841701"/>
      </top>
      <bottom/>
      <diagonal/>
    </border>
    <border>
      <left style="medium">
        <color theme="3" tint="0.39994506668294322"/>
      </left>
      <right style="thin">
        <color theme="3" tint="0.39994506668294322"/>
      </right>
      <top/>
      <bottom/>
      <diagonal/>
    </border>
    <border>
      <left/>
      <right/>
      <top style="thin">
        <color indexed="64"/>
      </top>
      <bottom style="thin">
        <color indexed="64"/>
      </bottom>
      <diagonal/>
    </border>
    <border>
      <left style="medium">
        <color theme="5" tint="-0.24994659260841701"/>
      </left>
      <right style="thin">
        <color theme="5" tint="-0.24994659260841701"/>
      </right>
      <top style="thin">
        <color theme="5" tint="-0.24994659260841701"/>
      </top>
      <bottom/>
      <diagonal/>
    </border>
    <border>
      <left style="medium">
        <color theme="5" tint="-0.24994659260841701"/>
      </left>
      <right style="thin">
        <color theme="5" tint="-0.24994659260841701"/>
      </right>
      <top/>
      <bottom/>
      <diagonal/>
    </border>
    <border>
      <left style="medium">
        <color theme="5" tint="-0.24994659260841701"/>
      </left>
      <right style="thin">
        <color theme="5" tint="-0.24994659260841701"/>
      </right>
      <top/>
      <bottom style="thin">
        <color theme="5" tint="-0.24994659260841701"/>
      </bottom>
      <diagonal/>
    </border>
    <border>
      <left style="medium">
        <color theme="5" tint="-0.24994659260841701"/>
      </left>
      <right style="thin">
        <color theme="5" tint="-0.24994659260841701"/>
      </right>
      <top style="medium">
        <color theme="5" tint="-0.24994659260841701"/>
      </top>
      <bottom/>
      <diagonal/>
    </border>
    <border>
      <left style="thin">
        <color theme="5" tint="-0.24994659260841701"/>
      </left>
      <right style="thin">
        <color theme="5" tint="-0.24994659260841701"/>
      </right>
      <top/>
      <bottom/>
      <diagonal/>
    </border>
    <border>
      <left style="thin">
        <color indexed="64"/>
      </left>
      <right/>
      <top/>
      <bottom/>
      <diagonal/>
    </border>
    <border>
      <left style="thin">
        <color theme="5" tint="-0.24994659260841701"/>
      </left>
      <right style="thin">
        <color theme="5" tint="-0.24994659260841701"/>
      </right>
      <top/>
      <bottom style="medium">
        <color theme="5" tint="-0.24994659260841701"/>
      </bottom>
      <diagonal/>
    </border>
    <border>
      <left style="medium">
        <color theme="3" tint="0.39994506668294322"/>
      </left>
      <right/>
      <top style="thin">
        <color theme="5" tint="-0.24994659260841701"/>
      </top>
      <bottom style="medium">
        <color theme="3" tint="0.39994506668294322"/>
      </bottom>
      <diagonal/>
    </border>
    <border>
      <left/>
      <right/>
      <top style="thin">
        <color theme="5" tint="-0.24994659260841701"/>
      </top>
      <bottom style="medium">
        <color theme="3" tint="0.39994506668294322"/>
      </bottom>
      <diagonal/>
    </border>
  </borders>
  <cellStyleXfs count="5">
    <xf numFmtId="0" fontId="0" fillId="0" borderId="0"/>
    <xf numFmtId="0" fontId="4" fillId="0" borderId="0"/>
    <xf numFmtId="0" fontId="5" fillId="0" borderId="0"/>
    <xf numFmtId="44" fontId="6" fillId="0" borderId="0" applyFont="0" applyFill="0" applyBorder="0" applyAlignment="0" applyProtection="0"/>
    <xf numFmtId="164" fontId="7" fillId="0" borderId="0" applyFont="0" applyFill="0" applyBorder="0" applyAlignment="0" applyProtection="0"/>
  </cellStyleXfs>
  <cellXfs count="418">
    <xf numFmtId="0" fontId="0" fillId="0" borderId="0" xfId="0"/>
    <xf numFmtId="14" fontId="12" fillId="2" borderId="0" xfId="0" applyNumberFormat="1" applyFont="1" applyFill="1" applyAlignment="1" applyProtection="1">
      <alignment horizontal="justify" vertical="center" wrapText="1"/>
      <protection hidden="1"/>
    </xf>
    <xf numFmtId="0" fontId="0" fillId="0" borderId="0" xfId="0" applyProtection="1">
      <protection hidden="1"/>
    </xf>
    <xf numFmtId="0" fontId="9" fillId="4" borderId="0" xfId="0" applyFont="1" applyFill="1" applyProtection="1">
      <protection hidden="1"/>
    </xf>
    <xf numFmtId="0" fontId="9" fillId="4" borderId="0" xfId="0" applyFont="1" applyFill="1" applyAlignment="1" applyProtection="1">
      <alignment horizontal="justify"/>
      <protection hidden="1"/>
    </xf>
    <xf numFmtId="0" fontId="12" fillId="0" borderId="0" xfId="0" applyFont="1" applyProtection="1">
      <protection hidden="1"/>
    </xf>
    <xf numFmtId="9" fontId="21" fillId="0" borderId="0" xfId="0" applyNumberFormat="1" applyFont="1"/>
    <xf numFmtId="0" fontId="21" fillId="0" borderId="0" xfId="0" applyFont="1"/>
    <xf numFmtId="4" fontId="21" fillId="0" borderId="0" xfId="0" applyNumberFormat="1" applyFont="1"/>
    <xf numFmtId="0" fontId="17" fillId="0" borderId="0" xfId="0" applyFont="1" applyAlignment="1" applyProtection="1">
      <alignment vertical="center"/>
      <protection hidden="1"/>
    </xf>
    <xf numFmtId="0" fontId="13" fillId="0" borderId="0" xfId="0" applyFont="1" applyProtection="1">
      <protection hidden="1"/>
    </xf>
    <xf numFmtId="0" fontId="22" fillId="2" borderId="0" xfId="0" applyFont="1" applyFill="1" applyAlignment="1" applyProtection="1">
      <alignment vertical="center" wrapText="1"/>
      <protection hidden="1"/>
    </xf>
    <xf numFmtId="0" fontId="22" fillId="0" borderId="0" xfId="0" applyFont="1" applyProtection="1">
      <protection hidden="1"/>
    </xf>
    <xf numFmtId="0" fontId="13" fillId="2" borderId="0" xfId="0" applyFont="1" applyFill="1" applyAlignment="1" applyProtection="1">
      <alignment horizontal="left" vertical="center" wrapText="1"/>
      <protection hidden="1"/>
    </xf>
    <xf numFmtId="0" fontId="14" fillId="2" borderId="0" xfId="0" applyFont="1" applyFill="1" applyAlignment="1" applyProtection="1">
      <alignment horizontal="left" vertical="center" wrapText="1"/>
      <protection hidden="1"/>
    </xf>
    <xf numFmtId="0" fontId="15" fillId="2" borderId="0" xfId="0" applyFont="1" applyFill="1" applyAlignment="1" applyProtection="1">
      <alignment vertical="center" wrapText="1"/>
      <protection hidden="1"/>
    </xf>
    <xf numFmtId="0" fontId="12" fillId="2" borderId="0" xfId="0" applyFont="1" applyFill="1" applyAlignment="1" applyProtection="1">
      <alignment horizontal="right" wrapText="1"/>
      <protection hidden="1"/>
    </xf>
    <xf numFmtId="0" fontId="12" fillId="0" borderId="0" xfId="0" applyFont="1" applyAlignment="1" applyProtection="1">
      <alignment vertical="center"/>
      <protection hidden="1"/>
    </xf>
    <xf numFmtId="3" fontId="12" fillId="2" borderId="24" xfId="3" applyNumberFormat="1" applyFont="1" applyFill="1" applyBorder="1" applyAlignment="1" applyProtection="1">
      <alignment horizontal="center" vertical="center" shrinkToFit="1"/>
      <protection hidden="1"/>
    </xf>
    <xf numFmtId="3" fontId="12" fillId="2" borderId="19" xfId="3" applyNumberFormat="1" applyFont="1" applyFill="1" applyBorder="1" applyAlignment="1" applyProtection="1">
      <alignment horizontal="center" vertical="center" shrinkToFit="1"/>
      <protection hidden="1"/>
    </xf>
    <xf numFmtId="0" fontId="26" fillId="2" borderId="0" xfId="0" applyFont="1" applyFill="1" applyAlignment="1" applyProtection="1">
      <alignment vertical="center" wrapText="1"/>
      <protection hidden="1"/>
    </xf>
    <xf numFmtId="3" fontId="26" fillId="2" borderId="0" xfId="0" applyNumberFormat="1" applyFont="1" applyFill="1" applyAlignment="1" applyProtection="1">
      <alignment vertical="center" wrapText="1"/>
      <protection hidden="1"/>
    </xf>
    <xf numFmtId="0" fontId="27" fillId="0" borderId="0" xfId="0" applyFont="1" applyAlignment="1" applyProtection="1">
      <alignment vertical="center"/>
      <protection hidden="1"/>
    </xf>
    <xf numFmtId="3" fontId="12" fillId="2" borderId="0" xfId="3" applyNumberFormat="1" applyFont="1" applyFill="1" applyBorder="1" applyAlignment="1" applyProtection="1">
      <alignment horizontal="right" vertical="center" shrinkToFit="1"/>
      <protection hidden="1"/>
    </xf>
    <xf numFmtId="0" fontId="12" fillId="2" borderId="0" xfId="0" applyFont="1" applyFill="1" applyAlignment="1" applyProtection="1">
      <alignment horizontal="left" vertical="center" wrapText="1"/>
      <protection hidden="1"/>
    </xf>
    <xf numFmtId="0" fontId="12" fillId="2" borderId="0" xfId="0" applyFont="1" applyFill="1" applyAlignment="1" applyProtection="1">
      <alignment vertical="center" wrapText="1"/>
      <protection hidden="1"/>
    </xf>
    <xf numFmtId="0" fontId="12" fillId="0" borderId="0" xfId="0" applyFont="1" applyAlignment="1" applyProtection="1">
      <alignment horizontal="right" wrapText="1"/>
      <protection hidden="1"/>
    </xf>
    <xf numFmtId="0" fontId="12" fillId="0" borderId="0" xfId="0" applyFont="1" applyAlignment="1" applyProtection="1">
      <alignment vertical="center" wrapText="1"/>
      <protection hidden="1"/>
    </xf>
    <xf numFmtId="0" fontId="12" fillId="2" borderId="0" xfId="0" applyFont="1" applyFill="1" applyAlignment="1" applyProtection="1">
      <alignment vertical="center"/>
      <protection hidden="1"/>
    </xf>
    <xf numFmtId="0" fontId="16" fillId="2" borderId="20" xfId="0" applyFont="1" applyFill="1" applyBorder="1" applyAlignment="1" applyProtection="1">
      <alignment horizontal="center" vertical="center" wrapText="1"/>
      <protection hidden="1"/>
    </xf>
    <xf numFmtId="0" fontId="16" fillId="2" borderId="0" xfId="0" applyFont="1" applyFill="1" applyAlignment="1" applyProtection="1">
      <alignment vertical="center" wrapText="1"/>
      <protection hidden="1"/>
    </xf>
    <xf numFmtId="0" fontId="13" fillId="0" borderId="0" xfId="0" applyFont="1" applyAlignment="1" applyProtection="1">
      <alignment vertical="center"/>
      <protection hidden="1"/>
    </xf>
    <xf numFmtId="0" fontId="12" fillId="2" borderId="0" xfId="0" applyFont="1" applyFill="1" applyAlignment="1" applyProtection="1">
      <alignment horizontal="right" vertical="center"/>
      <protection hidden="1"/>
    </xf>
    <xf numFmtId="0" fontId="16" fillId="2" borderId="0" xfId="0" applyFont="1" applyFill="1" applyAlignment="1" applyProtection="1">
      <alignment horizontal="center" vertical="center" wrapText="1"/>
      <protection hidden="1"/>
    </xf>
    <xf numFmtId="0" fontId="23" fillId="2" borderId="16" xfId="0" applyFont="1" applyFill="1" applyBorder="1" applyAlignment="1" applyProtection="1">
      <alignment horizontal="center" vertical="center" wrapText="1"/>
      <protection locked="0"/>
    </xf>
    <xf numFmtId="0" fontId="23" fillId="0" borderId="16" xfId="0" applyFont="1" applyBorder="1" applyAlignment="1" applyProtection="1">
      <alignment horizontal="center" vertical="center"/>
      <protection locked="0"/>
    </xf>
    <xf numFmtId="0" fontId="3" fillId="2" borderId="0" xfId="0" applyFont="1" applyFill="1" applyAlignment="1" applyProtection="1">
      <alignment horizontal="justify" vertical="center" wrapText="1"/>
      <protection hidden="1"/>
    </xf>
    <xf numFmtId="0" fontId="0" fillId="2" borderId="0" xfId="0" applyFill="1" applyAlignment="1" applyProtection="1">
      <alignment horizontal="justify" vertical="center" wrapText="1"/>
      <protection hidden="1"/>
    </xf>
    <xf numFmtId="14" fontId="20" fillId="0" borderId="0" xfId="0" applyNumberFormat="1" applyFont="1" applyAlignment="1" applyProtection="1">
      <alignment horizontal="center" vertical="center"/>
      <protection hidden="1"/>
    </xf>
    <xf numFmtId="0" fontId="29" fillId="0" borderId="0" xfId="0" applyFont="1" applyAlignment="1" applyProtection="1">
      <alignment horizontal="right" vertical="center"/>
      <protection hidden="1"/>
    </xf>
    <xf numFmtId="14" fontId="29" fillId="0" borderId="0" xfId="0" applyNumberFormat="1" applyFont="1" applyAlignment="1" applyProtection="1">
      <alignment horizontal="center" vertical="center"/>
      <protection hidden="1"/>
    </xf>
    <xf numFmtId="0" fontId="20" fillId="0" borderId="0" xfId="0" applyFont="1" applyAlignment="1" applyProtection="1">
      <alignment horizontal="right" vertical="center"/>
      <protection hidden="1"/>
    </xf>
    <xf numFmtId="0" fontId="30" fillId="0" borderId="0" xfId="0" applyFont="1" applyAlignment="1" applyProtection="1">
      <alignment horizontal="right" vertical="center"/>
      <protection hidden="1"/>
    </xf>
    <xf numFmtId="14" fontId="30" fillId="0" borderId="0" xfId="0" applyNumberFormat="1" applyFont="1" applyAlignment="1" applyProtection="1">
      <alignment horizontal="center" vertical="center"/>
      <protection hidden="1"/>
    </xf>
    <xf numFmtId="0" fontId="0" fillId="0" borderId="0" xfId="0" applyAlignment="1" applyProtection="1">
      <alignment horizontal="justify" vertical="center" wrapText="1"/>
      <protection hidden="1"/>
    </xf>
    <xf numFmtId="0" fontId="3" fillId="7" borderId="24" xfId="0" applyFont="1" applyFill="1" applyBorder="1" applyAlignment="1" applyProtection="1">
      <alignment horizontal="center" vertical="center" wrapText="1"/>
      <protection hidden="1"/>
    </xf>
    <xf numFmtId="4" fontId="3" fillId="7" borderId="24" xfId="3" applyNumberFormat="1" applyFont="1" applyFill="1" applyBorder="1" applyAlignment="1" applyProtection="1">
      <alignment horizontal="center" vertical="center" shrinkToFit="1"/>
      <protection hidden="1"/>
    </xf>
    <xf numFmtId="3" fontId="3" fillId="0" borderId="24" xfId="3" applyNumberFormat="1" applyFont="1" applyFill="1" applyBorder="1" applyAlignment="1" applyProtection="1">
      <alignment horizontal="right" vertical="center" shrinkToFit="1"/>
      <protection hidden="1"/>
    </xf>
    <xf numFmtId="3" fontId="3" fillId="2" borderId="25" xfId="3" applyNumberFormat="1" applyFont="1" applyFill="1" applyBorder="1" applyAlignment="1" applyProtection="1">
      <alignment vertical="center" shrinkToFit="1"/>
      <protection hidden="1"/>
    </xf>
    <xf numFmtId="0" fontId="3" fillId="7" borderId="19" xfId="0" applyFont="1" applyFill="1" applyBorder="1" applyAlignment="1" applyProtection="1">
      <alignment horizontal="center" vertical="center" wrapText="1"/>
      <protection hidden="1"/>
    </xf>
    <xf numFmtId="4" fontId="3" fillId="7" borderId="19" xfId="3" applyNumberFormat="1" applyFont="1" applyFill="1" applyBorder="1" applyAlignment="1" applyProtection="1">
      <alignment horizontal="center" vertical="center" shrinkToFit="1"/>
      <protection hidden="1"/>
    </xf>
    <xf numFmtId="3" fontId="3" fillId="0" borderId="19" xfId="3" applyNumberFormat="1" applyFont="1" applyFill="1" applyBorder="1" applyAlignment="1" applyProtection="1">
      <alignment horizontal="right" vertical="center" shrinkToFit="1"/>
      <protection hidden="1"/>
    </xf>
    <xf numFmtId="3" fontId="3" fillId="2" borderId="19" xfId="3" applyNumberFormat="1" applyFont="1" applyFill="1" applyBorder="1" applyAlignment="1" applyProtection="1">
      <alignment vertical="center" shrinkToFit="1"/>
      <protection hidden="1"/>
    </xf>
    <xf numFmtId="3" fontId="3" fillId="2" borderId="30" xfId="3" applyNumberFormat="1" applyFont="1" applyFill="1" applyBorder="1" applyAlignment="1" applyProtection="1">
      <alignment horizontal="right" vertical="center" shrinkToFit="1"/>
      <protection hidden="1"/>
    </xf>
    <xf numFmtId="0" fontId="3" fillId="7" borderId="27" xfId="0" applyFont="1" applyFill="1" applyBorder="1" applyAlignment="1" applyProtection="1">
      <alignment horizontal="center" vertical="center" wrapText="1"/>
      <protection hidden="1"/>
    </xf>
    <xf numFmtId="4" fontId="3" fillId="7" borderId="27" xfId="3" applyNumberFormat="1" applyFont="1" applyFill="1" applyBorder="1" applyAlignment="1" applyProtection="1">
      <alignment horizontal="center" vertical="center" shrinkToFit="1"/>
      <protection hidden="1"/>
    </xf>
    <xf numFmtId="3" fontId="3" fillId="0" borderId="27" xfId="3" applyNumberFormat="1" applyFont="1" applyFill="1" applyBorder="1" applyAlignment="1" applyProtection="1">
      <alignment horizontal="right" vertical="center" shrinkToFit="1"/>
      <protection hidden="1"/>
    </xf>
    <xf numFmtId="3" fontId="3" fillId="2" borderId="28" xfId="3" applyNumberFormat="1" applyFont="1" applyFill="1" applyBorder="1" applyAlignment="1" applyProtection="1">
      <alignment horizontal="right" vertical="center" shrinkToFit="1"/>
      <protection hidden="1"/>
    </xf>
    <xf numFmtId="164" fontId="8" fillId="2" borderId="27" xfId="4" applyFont="1" applyFill="1" applyBorder="1" applyAlignment="1" applyProtection="1">
      <alignment horizontal="center" vertical="center" wrapText="1"/>
      <protection hidden="1"/>
    </xf>
    <xf numFmtId="164" fontId="8" fillId="2" borderId="28" xfId="4" applyFont="1" applyFill="1" applyBorder="1" applyAlignment="1" applyProtection="1">
      <alignment horizontal="center" vertical="center" wrapText="1"/>
      <protection hidden="1"/>
    </xf>
    <xf numFmtId="3" fontId="3" fillId="2" borderId="19" xfId="3" applyNumberFormat="1" applyFont="1" applyFill="1" applyBorder="1" applyAlignment="1" applyProtection="1">
      <alignment horizontal="right" vertical="center" shrinkToFit="1"/>
      <protection hidden="1"/>
    </xf>
    <xf numFmtId="0" fontId="3" fillId="2" borderId="19" xfId="0" quotePrefix="1" applyFont="1" applyFill="1" applyBorder="1" applyAlignment="1" applyProtection="1">
      <alignment vertical="center" wrapText="1"/>
      <protection hidden="1"/>
    </xf>
    <xf numFmtId="0" fontId="3" fillId="2" borderId="19" xfId="0" applyFont="1" applyFill="1" applyBorder="1" applyAlignment="1" applyProtection="1">
      <alignment horizontal="center" vertical="center"/>
      <protection hidden="1"/>
    </xf>
    <xf numFmtId="0" fontId="3" fillId="2" borderId="19" xfId="0" applyFont="1" applyFill="1" applyBorder="1" applyAlignment="1" applyProtection="1">
      <alignment vertical="center" wrapText="1"/>
      <protection hidden="1"/>
    </xf>
    <xf numFmtId="0" fontId="3" fillId="0" borderId="19" xfId="0" applyFont="1" applyBorder="1" applyAlignment="1" applyProtection="1">
      <alignment vertical="center" wrapText="1"/>
      <protection hidden="1"/>
    </xf>
    <xf numFmtId="3" fontId="3" fillId="0" borderId="27" xfId="3" applyNumberFormat="1" applyFont="1" applyFill="1" applyBorder="1" applyAlignment="1" applyProtection="1">
      <alignment vertical="center" shrinkToFit="1"/>
      <protection hidden="1"/>
    </xf>
    <xf numFmtId="4" fontId="3" fillId="7" borderId="24" xfId="3" applyNumberFormat="1" applyFont="1" applyFill="1" applyBorder="1" applyAlignment="1" applyProtection="1">
      <alignment horizontal="right" vertical="center" shrinkToFit="1"/>
      <protection hidden="1"/>
    </xf>
    <xf numFmtId="4" fontId="3" fillId="7" borderId="19" xfId="3" applyNumberFormat="1" applyFont="1" applyFill="1" applyBorder="1" applyAlignment="1" applyProtection="1">
      <alignment horizontal="right" vertical="center" shrinkToFit="1"/>
      <protection hidden="1"/>
    </xf>
    <xf numFmtId="3" fontId="3" fillId="2" borderId="30" xfId="3" applyNumberFormat="1" applyFont="1" applyFill="1" applyBorder="1" applyAlignment="1" applyProtection="1">
      <alignment vertical="center" shrinkToFit="1"/>
      <protection hidden="1"/>
    </xf>
    <xf numFmtId="4" fontId="3" fillId="7" borderId="27" xfId="3" applyNumberFormat="1" applyFont="1" applyFill="1" applyBorder="1" applyAlignment="1" applyProtection="1">
      <alignment horizontal="right" vertical="center" shrinkToFit="1"/>
      <protection hidden="1"/>
    </xf>
    <xf numFmtId="3" fontId="3" fillId="2" borderId="25" xfId="3" applyNumberFormat="1" applyFont="1" applyFill="1" applyBorder="1" applyAlignment="1" applyProtection="1">
      <alignment horizontal="center" vertical="center" shrinkToFit="1"/>
      <protection hidden="1"/>
    </xf>
    <xf numFmtId="3" fontId="3" fillId="2" borderId="30" xfId="3" applyNumberFormat="1" applyFont="1" applyFill="1" applyBorder="1" applyAlignment="1" applyProtection="1">
      <alignment horizontal="center" vertical="center" shrinkToFit="1"/>
      <protection hidden="1"/>
    </xf>
    <xf numFmtId="3" fontId="3" fillId="0" borderId="30" xfId="3" applyNumberFormat="1" applyFont="1" applyFill="1" applyBorder="1" applyAlignment="1" applyProtection="1">
      <alignment horizontal="right" vertical="center" shrinkToFit="1"/>
      <protection hidden="1"/>
    </xf>
    <xf numFmtId="3" fontId="3" fillId="2" borderId="28" xfId="3" applyNumberFormat="1" applyFont="1" applyFill="1" applyBorder="1" applyAlignment="1" applyProtection="1">
      <alignment vertical="center" shrinkToFit="1"/>
      <protection hidden="1"/>
    </xf>
    <xf numFmtId="0" fontId="1" fillId="0" borderId="0" xfId="0" applyFont="1" applyProtection="1">
      <protection hidden="1"/>
    </xf>
    <xf numFmtId="0" fontId="2" fillId="0" borderId="0" xfId="0" applyFont="1" applyAlignment="1" applyProtection="1">
      <alignment vertical="center"/>
      <protection hidden="1"/>
    </xf>
    <xf numFmtId="0" fontId="3" fillId="0" borderId="0" xfId="0" applyFont="1" applyProtection="1">
      <protection hidden="1"/>
    </xf>
    <xf numFmtId="0" fontId="8" fillId="0" borderId="0" xfId="0" applyFont="1" applyAlignment="1" applyProtection="1">
      <alignment vertical="center"/>
      <protection hidden="1"/>
    </xf>
    <xf numFmtId="0" fontId="3" fillId="0" borderId="0" xfId="0" applyFont="1" applyAlignment="1" applyProtection="1">
      <alignment vertical="center"/>
      <protection hidden="1"/>
    </xf>
    <xf numFmtId="0" fontId="36" fillId="0" borderId="0" xfId="0" applyFont="1" applyAlignment="1" applyProtection="1">
      <alignment vertical="center"/>
      <protection hidden="1"/>
    </xf>
    <xf numFmtId="0" fontId="3" fillId="2" borderId="0" xfId="0" applyFont="1" applyFill="1" applyAlignment="1" applyProtection="1">
      <alignment vertical="center" wrapText="1"/>
      <protection hidden="1"/>
    </xf>
    <xf numFmtId="0" fontId="3" fillId="0" borderId="0" xfId="0" applyFont="1" applyAlignment="1" applyProtection="1">
      <alignment horizontal="justify" vertical="top" wrapText="1"/>
      <protection hidden="1"/>
    </xf>
    <xf numFmtId="0" fontId="3" fillId="0" borderId="16" xfId="0" applyFont="1" applyBorder="1" applyAlignment="1" applyProtection="1">
      <alignment vertical="center"/>
      <protection hidden="1"/>
    </xf>
    <xf numFmtId="165" fontId="3" fillId="0" borderId="16" xfId="0" applyNumberFormat="1" applyFont="1" applyBorder="1" applyAlignment="1" applyProtection="1">
      <alignment vertical="center"/>
      <protection hidden="1"/>
    </xf>
    <xf numFmtId="0" fontId="8" fillId="0" borderId="16" xfId="0" applyFont="1" applyBorder="1" applyAlignment="1" applyProtection="1">
      <alignment vertical="center"/>
      <protection hidden="1"/>
    </xf>
    <xf numFmtId="165" fontId="8" fillId="0" borderId="16" xfId="0" applyNumberFormat="1" applyFont="1" applyBorder="1" applyAlignment="1" applyProtection="1">
      <alignment vertical="center"/>
      <protection hidden="1"/>
    </xf>
    <xf numFmtId="0" fontId="36" fillId="0" borderId="0" xfId="0" applyFont="1" applyProtection="1">
      <protection hidden="1"/>
    </xf>
    <xf numFmtId="0" fontId="3" fillId="0" borderId="0" xfId="0" applyFont="1" applyAlignment="1" applyProtection="1">
      <alignment horizontal="justify" vertical="center" wrapText="1"/>
      <protection hidden="1"/>
    </xf>
    <xf numFmtId="165" fontId="2" fillId="0" borderId="0" xfId="0" applyNumberFormat="1" applyFont="1" applyAlignment="1" applyProtection="1">
      <alignment vertical="top"/>
      <protection hidden="1"/>
    </xf>
    <xf numFmtId="0" fontId="2" fillId="0" borderId="0" xfId="0" applyFont="1" applyAlignment="1" applyProtection="1">
      <alignment horizontal="center" vertical="top"/>
      <protection hidden="1"/>
    </xf>
    <xf numFmtId="0" fontId="8" fillId="0" borderId="0" xfId="0" applyFont="1" applyProtection="1">
      <protection hidden="1"/>
    </xf>
    <xf numFmtId="0" fontId="8" fillId="0" borderId="0" xfId="0" applyFont="1" applyAlignment="1" applyProtection="1">
      <alignment horizontal="justify" vertical="center" wrapText="1"/>
      <protection hidden="1"/>
    </xf>
    <xf numFmtId="0" fontId="3" fillId="0" borderId="0" xfId="0" applyFont="1" applyAlignment="1" applyProtection="1">
      <alignment horizontal="center" vertical="center" wrapText="1"/>
      <protection hidden="1"/>
    </xf>
    <xf numFmtId="0" fontId="3" fillId="2" borderId="19" xfId="0" quotePrefix="1" applyFont="1" applyFill="1" applyBorder="1" applyAlignment="1" applyProtection="1">
      <alignment vertical="center" shrinkToFit="1"/>
      <protection hidden="1"/>
    </xf>
    <xf numFmtId="0" fontId="3" fillId="2" borderId="19" xfId="0" applyFont="1" applyFill="1" applyBorder="1" applyAlignment="1" applyProtection="1">
      <alignment vertical="center" shrinkToFit="1"/>
      <protection hidden="1"/>
    </xf>
    <xf numFmtId="0" fontId="3" fillId="0" borderId="19" xfId="0" applyFont="1" applyBorder="1" applyAlignment="1" applyProtection="1">
      <alignment vertical="center" shrinkToFit="1"/>
      <protection hidden="1"/>
    </xf>
    <xf numFmtId="0" fontId="40" fillId="0" borderId="0" xfId="0" applyFont="1" applyAlignment="1" applyProtection="1">
      <alignment vertical="center"/>
      <protection hidden="1"/>
    </xf>
    <xf numFmtId="0" fontId="3" fillId="2" borderId="0" xfId="0" applyFont="1" applyFill="1" applyAlignment="1" applyProtection="1">
      <alignment horizontal="left" vertical="center" wrapText="1"/>
      <protection hidden="1"/>
    </xf>
    <xf numFmtId="0" fontId="1" fillId="2" borderId="0" xfId="0" applyFont="1" applyFill="1" applyAlignment="1" applyProtection="1">
      <alignment vertical="center" wrapText="1"/>
      <protection hidden="1"/>
    </xf>
    <xf numFmtId="0" fontId="2" fillId="0" borderId="0" xfId="0" applyFont="1" applyProtection="1">
      <protection hidden="1"/>
    </xf>
    <xf numFmtId="0" fontId="31" fillId="2" borderId="0" xfId="0" applyFont="1" applyFill="1" applyAlignment="1" applyProtection="1">
      <alignment horizontal="left" vertical="center" wrapText="1"/>
      <protection hidden="1"/>
    </xf>
    <xf numFmtId="0" fontId="41" fillId="2" borderId="0" xfId="0" applyFont="1" applyFill="1" applyAlignment="1" applyProtection="1">
      <alignment vertical="center" wrapText="1"/>
      <protection hidden="1"/>
    </xf>
    <xf numFmtId="0" fontId="3" fillId="2" borderId="5" xfId="0" applyFont="1" applyFill="1" applyBorder="1" applyAlignment="1" applyProtection="1">
      <alignment horizontal="justify" vertical="center"/>
      <protection hidden="1"/>
    </xf>
    <xf numFmtId="0" fontId="3" fillId="2" borderId="6" xfId="0" applyFont="1" applyFill="1" applyBorder="1" applyAlignment="1" applyProtection="1">
      <alignment horizontal="justify" vertical="center"/>
      <protection hidden="1"/>
    </xf>
    <xf numFmtId="0" fontId="3" fillId="4" borderId="0" xfId="0" applyFont="1" applyFill="1" applyProtection="1">
      <protection hidden="1"/>
    </xf>
    <xf numFmtId="0" fontId="3" fillId="2" borderId="6" xfId="0" applyFont="1" applyFill="1" applyBorder="1" applyAlignment="1" applyProtection="1">
      <alignment horizontal="justify" wrapText="1"/>
      <protection hidden="1"/>
    </xf>
    <xf numFmtId="0" fontId="8" fillId="2" borderId="5" xfId="0" applyFont="1" applyFill="1" applyBorder="1" applyAlignment="1" applyProtection="1">
      <alignment horizontal="justify" vertical="center"/>
      <protection hidden="1"/>
    </xf>
    <xf numFmtId="0" fontId="3" fillId="2" borderId="6" xfId="0" applyFont="1" applyFill="1" applyBorder="1" applyAlignment="1" applyProtection="1">
      <alignment horizontal="justify" vertical="center" wrapText="1"/>
      <protection hidden="1"/>
    </xf>
    <xf numFmtId="0" fontId="8" fillId="2" borderId="19" xfId="0" applyFont="1" applyFill="1" applyBorder="1" applyAlignment="1" applyProtection="1">
      <alignment horizontal="justify" vertical="center"/>
      <protection hidden="1"/>
    </xf>
    <xf numFmtId="0" fontId="3" fillId="0" borderId="19" xfId="0" applyFont="1" applyBorder="1" applyAlignment="1" applyProtection="1">
      <alignment horizontal="justify" vertical="center" wrapText="1"/>
      <protection hidden="1"/>
    </xf>
    <xf numFmtId="0" fontId="8" fillId="2" borderId="19" xfId="0" applyFont="1" applyFill="1" applyBorder="1" applyAlignment="1" applyProtection="1">
      <alignment horizontal="left" vertical="center" wrapText="1"/>
      <protection hidden="1"/>
    </xf>
    <xf numFmtId="0" fontId="3" fillId="2" borderId="19" xfId="0" applyFont="1" applyFill="1" applyBorder="1" applyAlignment="1" applyProtection="1">
      <alignment horizontal="justify" vertical="center" wrapText="1"/>
      <protection hidden="1"/>
    </xf>
    <xf numFmtId="0" fontId="2" fillId="2" borderId="19" xfId="0" applyFont="1" applyFill="1" applyBorder="1" applyAlignment="1" applyProtection="1">
      <alignment horizontal="center" vertical="center" wrapText="1"/>
      <protection locked="0"/>
    </xf>
    <xf numFmtId="4" fontId="44" fillId="2" borderId="19" xfId="3" applyNumberFormat="1" applyFont="1" applyFill="1" applyBorder="1" applyAlignment="1" applyProtection="1">
      <alignment horizontal="right" vertical="center"/>
      <protection locked="0"/>
    </xf>
    <xf numFmtId="0" fontId="44" fillId="0" borderId="20" xfId="0" applyFont="1" applyBorder="1" applyAlignment="1" applyProtection="1">
      <alignment horizontal="justify" vertical="center" wrapText="1"/>
      <protection locked="0"/>
    </xf>
    <xf numFmtId="4" fontId="44" fillId="2" borderId="19" xfId="3" applyNumberFormat="1" applyFont="1" applyFill="1" applyBorder="1" applyAlignment="1" applyProtection="1">
      <alignment horizontal="right" vertical="center"/>
      <protection hidden="1"/>
    </xf>
    <xf numFmtId="0" fontId="9" fillId="0" borderId="0" xfId="0" applyFont="1" applyProtection="1">
      <protection hidden="1"/>
    </xf>
    <xf numFmtId="0" fontId="3" fillId="9" borderId="24" xfId="0" applyFont="1" applyFill="1" applyBorder="1" applyAlignment="1" applyProtection="1">
      <alignment horizontal="center" vertical="center" wrapText="1"/>
      <protection hidden="1"/>
    </xf>
    <xf numFmtId="4" fontId="3" fillId="8" borderId="24" xfId="3" applyNumberFormat="1" applyFont="1" applyFill="1" applyBorder="1" applyAlignment="1" applyProtection="1">
      <alignment horizontal="center" vertical="center" shrinkToFit="1"/>
      <protection hidden="1"/>
    </xf>
    <xf numFmtId="0" fontId="3" fillId="9" borderId="19" xfId="0" applyFont="1" applyFill="1" applyBorder="1" applyAlignment="1" applyProtection="1">
      <alignment horizontal="center" vertical="center" wrapText="1"/>
      <protection hidden="1"/>
    </xf>
    <xf numFmtId="4" fontId="3" fillId="8" borderId="19" xfId="3" applyNumberFormat="1" applyFont="1" applyFill="1" applyBorder="1" applyAlignment="1" applyProtection="1">
      <alignment horizontal="center" vertical="center" shrinkToFit="1"/>
      <protection hidden="1"/>
    </xf>
    <xf numFmtId="0" fontId="3" fillId="9" borderId="27" xfId="0" applyFont="1" applyFill="1" applyBorder="1" applyAlignment="1" applyProtection="1">
      <alignment horizontal="center" vertical="center" wrapText="1"/>
      <protection hidden="1"/>
    </xf>
    <xf numFmtId="4" fontId="3" fillId="8" borderId="27" xfId="3" applyNumberFormat="1" applyFont="1" applyFill="1" applyBorder="1" applyAlignment="1" applyProtection="1">
      <alignment horizontal="center" vertical="center" shrinkToFit="1"/>
      <protection hidden="1"/>
    </xf>
    <xf numFmtId="4" fontId="3" fillId="9" borderId="19" xfId="3" applyNumberFormat="1" applyFont="1" applyFill="1" applyBorder="1" applyAlignment="1" applyProtection="1">
      <alignment horizontal="right" vertical="center" shrinkToFit="1"/>
      <protection hidden="1"/>
    </xf>
    <xf numFmtId="4" fontId="3" fillId="9" borderId="27" xfId="3" applyNumberFormat="1" applyFont="1" applyFill="1" applyBorder="1" applyAlignment="1" applyProtection="1">
      <alignment horizontal="right" vertical="center" shrinkToFit="1"/>
      <protection hidden="1"/>
    </xf>
    <xf numFmtId="4" fontId="3" fillId="9" borderId="24" xfId="3" applyNumberFormat="1" applyFont="1" applyFill="1" applyBorder="1" applyAlignment="1" applyProtection="1">
      <alignment horizontal="right" vertical="center" shrinkToFit="1"/>
      <protection hidden="1"/>
    </xf>
    <xf numFmtId="0" fontId="8" fillId="8" borderId="1" xfId="0" applyFont="1" applyFill="1" applyBorder="1" applyAlignment="1" applyProtection="1">
      <alignment vertical="center" wrapText="1"/>
      <protection hidden="1"/>
    </xf>
    <xf numFmtId="0" fontId="8" fillId="10" borderId="1" xfId="0" applyFont="1" applyFill="1" applyBorder="1" applyAlignment="1" applyProtection="1">
      <alignment vertical="center" wrapText="1"/>
      <protection hidden="1"/>
    </xf>
    <xf numFmtId="0" fontId="3" fillId="0" borderId="1" xfId="0" applyFont="1" applyBorder="1" applyAlignment="1" applyProtection="1">
      <alignment horizontal="justify" vertical="center" wrapText="1"/>
      <protection hidden="1"/>
    </xf>
    <xf numFmtId="0" fontId="3" fillId="0" borderId="2" xfId="0" applyFont="1" applyBorder="1" applyAlignment="1" applyProtection="1">
      <alignment horizontal="justify" vertical="center" wrapText="1"/>
      <protection hidden="1"/>
    </xf>
    <xf numFmtId="3" fontId="3" fillId="7" borderId="24" xfId="3" applyNumberFormat="1" applyFont="1" applyFill="1" applyBorder="1" applyAlignment="1" applyProtection="1">
      <alignment horizontal="right" vertical="center" shrinkToFit="1"/>
      <protection hidden="1"/>
    </xf>
    <xf numFmtId="3" fontId="3" fillId="7" borderId="19" xfId="3" applyNumberFormat="1" applyFont="1" applyFill="1" applyBorder="1" applyAlignment="1" applyProtection="1">
      <alignment horizontal="right" vertical="center" shrinkToFit="1"/>
      <protection hidden="1"/>
    </xf>
    <xf numFmtId="3" fontId="3" fillId="7" borderId="27" xfId="3" applyNumberFormat="1" applyFont="1" applyFill="1" applyBorder="1" applyAlignment="1" applyProtection="1">
      <alignment horizontal="right" vertical="center" shrinkToFit="1"/>
      <protection hidden="1"/>
    </xf>
    <xf numFmtId="3" fontId="3" fillId="7" borderId="24" xfId="3" applyNumberFormat="1" applyFont="1" applyFill="1" applyBorder="1" applyAlignment="1" applyProtection="1">
      <alignment horizontal="center" vertical="center" shrinkToFit="1"/>
      <protection hidden="1"/>
    </xf>
    <xf numFmtId="3" fontId="3" fillId="7" borderId="19" xfId="3" applyNumberFormat="1" applyFont="1" applyFill="1" applyBorder="1" applyAlignment="1" applyProtection="1">
      <alignment horizontal="center" vertical="center" shrinkToFit="1"/>
      <protection hidden="1"/>
    </xf>
    <xf numFmtId="3" fontId="3" fillId="7" borderId="27" xfId="3" applyNumberFormat="1" applyFont="1" applyFill="1" applyBorder="1" applyAlignment="1" applyProtection="1">
      <alignment horizontal="center" vertical="center" shrinkToFit="1"/>
      <protection hidden="1"/>
    </xf>
    <xf numFmtId="0" fontId="3" fillId="0" borderId="46" xfId="0" applyFont="1" applyBorder="1" applyAlignment="1" applyProtection="1">
      <alignment vertical="top" wrapText="1"/>
      <protection hidden="1"/>
    </xf>
    <xf numFmtId="0" fontId="8" fillId="0" borderId="46" xfId="0" applyFont="1" applyBorder="1" applyAlignment="1" applyProtection="1">
      <alignment horizontal="center" vertical="center" wrapText="1"/>
      <protection hidden="1"/>
    </xf>
    <xf numFmtId="0" fontId="44" fillId="0" borderId="16" xfId="0" applyFont="1" applyBorder="1" applyAlignment="1" applyProtection="1">
      <alignment horizontal="center" vertical="center" wrapText="1"/>
      <protection locked="0"/>
    </xf>
    <xf numFmtId="0" fontId="3" fillId="2" borderId="2" xfId="0" applyFont="1" applyFill="1" applyBorder="1" applyAlignment="1" applyProtection="1">
      <alignment horizontal="center" vertical="center"/>
      <protection hidden="1"/>
    </xf>
    <xf numFmtId="4" fontId="44" fillId="2" borderId="65" xfId="3" applyNumberFormat="1" applyFont="1" applyFill="1" applyBorder="1" applyAlignment="1" applyProtection="1">
      <alignment horizontal="right" vertical="center"/>
      <protection locked="0"/>
    </xf>
    <xf numFmtId="0" fontId="44" fillId="0" borderId="20" xfId="0" applyFont="1" applyBorder="1" applyAlignment="1" applyProtection="1">
      <alignment vertical="center" shrinkToFit="1"/>
      <protection locked="0"/>
    </xf>
    <xf numFmtId="4" fontId="3" fillId="2" borderId="19" xfId="3" applyNumberFormat="1" applyFont="1" applyFill="1" applyBorder="1" applyAlignment="1" applyProtection="1">
      <alignment horizontal="right" vertical="center"/>
      <protection locked="0"/>
    </xf>
    <xf numFmtId="0" fontId="3" fillId="2" borderId="67" xfId="0" applyFont="1" applyFill="1" applyBorder="1" applyAlignment="1" applyProtection="1">
      <alignment horizontal="justify" vertical="center"/>
      <protection hidden="1"/>
    </xf>
    <xf numFmtId="0" fontId="13" fillId="0" borderId="21" xfId="0" applyFont="1" applyBorder="1" applyAlignment="1" applyProtection="1">
      <alignment horizontal="center" vertical="center"/>
      <protection hidden="1"/>
    </xf>
    <xf numFmtId="0" fontId="12" fillId="0" borderId="0" xfId="0" applyFont="1" applyAlignment="1" applyProtection="1">
      <alignment horizontal="center" vertical="center" wrapText="1"/>
      <protection hidden="1"/>
    </xf>
    <xf numFmtId="0" fontId="25" fillId="0" borderId="0" xfId="0" applyFont="1" applyAlignment="1" applyProtection="1">
      <alignment horizontal="center"/>
      <protection hidden="1"/>
    </xf>
    <xf numFmtId="0" fontId="11" fillId="0" borderId="0" xfId="0" applyFont="1" applyAlignment="1" applyProtection="1">
      <alignment horizontal="center" vertical="center"/>
      <protection hidden="1"/>
    </xf>
    <xf numFmtId="0" fontId="12" fillId="0" borderId="0" xfId="0" applyFont="1" applyAlignment="1" applyProtection="1">
      <alignment horizontal="right" vertical="center"/>
      <protection hidden="1"/>
    </xf>
    <xf numFmtId="0" fontId="12" fillId="0" borderId="20" xfId="0" applyFont="1" applyBorder="1" applyAlignment="1" applyProtection="1">
      <alignment horizontal="center"/>
      <protection hidden="1"/>
    </xf>
    <xf numFmtId="0" fontId="44" fillId="0" borderId="22" xfId="0" applyFont="1" applyBorder="1" applyAlignment="1" applyProtection="1">
      <alignment horizontal="center"/>
      <protection locked="0"/>
    </xf>
    <xf numFmtId="0" fontId="10" fillId="6" borderId="0" xfId="0" applyFont="1" applyFill="1" applyAlignment="1" applyProtection="1">
      <alignment horizontal="left"/>
      <protection hidden="1"/>
    </xf>
    <xf numFmtId="0" fontId="1" fillId="0" borderId="0" xfId="0" applyFont="1" applyAlignment="1" applyProtection="1">
      <alignment horizontal="justify" vertical="center" wrapText="1"/>
      <protection hidden="1"/>
    </xf>
    <xf numFmtId="0" fontId="13" fillId="0" borderId="0" xfId="0" applyFont="1" applyAlignment="1" applyProtection="1">
      <alignment horizontal="center" vertical="center"/>
      <protection hidden="1"/>
    </xf>
    <xf numFmtId="0" fontId="22" fillId="0" borderId="0" xfId="0" applyFont="1" applyAlignment="1" applyProtection="1">
      <alignment horizontal="center"/>
      <protection hidden="1"/>
    </xf>
    <xf numFmtId="164" fontId="19" fillId="2" borderId="27" xfId="4" applyFont="1" applyFill="1" applyBorder="1" applyAlignment="1" applyProtection="1">
      <alignment horizontal="center" vertical="center" wrapText="1"/>
      <protection hidden="1"/>
    </xf>
    <xf numFmtId="3" fontId="19" fillId="2" borderId="24" xfId="3" applyNumberFormat="1" applyFont="1" applyFill="1" applyBorder="1" applyAlignment="1" applyProtection="1">
      <alignment horizontal="right" vertical="center" shrinkToFit="1"/>
      <protection hidden="1"/>
    </xf>
    <xf numFmtId="3" fontId="19" fillId="2" borderId="19" xfId="3" applyNumberFormat="1" applyFont="1" applyFill="1" applyBorder="1" applyAlignment="1" applyProtection="1">
      <alignment horizontal="right" vertical="center" shrinkToFit="1"/>
      <protection hidden="1"/>
    </xf>
    <xf numFmtId="3" fontId="19" fillId="7" borderId="24" xfId="3" applyNumberFormat="1" applyFont="1" applyFill="1" applyBorder="1" applyAlignment="1" applyProtection="1">
      <alignment horizontal="center" vertical="center" shrinkToFit="1"/>
      <protection hidden="1"/>
    </xf>
    <xf numFmtId="3" fontId="19" fillId="2" borderId="24" xfId="3" applyNumberFormat="1" applyFont="1" applyFill="1" applyBorder="1" applyAlignment="1" applyProtection="1">
      <alignment vertical="center" shrinkToFit="1"/>
      <protection hidden="1"/>
    </xf>
    <xf numFmtId="3" fontId="19" fillId="7" borderId="19" xfId="3" applyNumberFormat="1" applyFont="1" applyFill="1" applyBorder="1" applyAlignment="1" applyProtection="1">
      <alignment horizontal="center" vertical="center" shrinkToFit="1"/>
      <protection hidden="1"/>
    </xf>
    <xf numFmtId="3" fontId="19" fillId="7" borderId="27" xfId="3" applyNumberFormat="1" applyFont="1" applyFill="1" applyBorder="1" applyAlignment="1" applyProtection="1">
      <alignment horizontal="center" vertical="center" shrinkToFit="1"/>
      <protection hidden="1"/>
    </xf>
    <xf numFmtId="3" fontId="19" fillId="2" borderId="27" xfId="3" applyNumberFormat="1" applyFont="1" applyFill="1" applyBorder="1" applyAlignment="1" applyProtection="1">
      <alignment horizontal="right" vertical="center" shrinkToFit="1"/>
      <protection hidden="1"/>
    </xf>
    <xf numFmtId="3" fontId="19" fillId="7" borderId="24" xfId="3" applyNumberFormat="1" applyFont="1" applyFill="1" applyBorder="1" applyAlignment="1" applyProtection="1">
      <alignment horizontal="right" vertical="center" shrinkToFit="1"/>
      <protection hidden="1"/>
    </xf>
    <xf numFmtId="3" fontId="19" fillId="7" borderId="19" xfId="3" applyNumberFormat="1" applyFont="1" applyFill="1" applyBorder="1" applyAlignment="1" applyProtection="1">
      <alignment horizontal="right" vertical="center" shrinkToFit="1"/>
      <protection hidden="1"/>
    </xf>
    <xf numFmtId="3" fontId="19" fillId="7" borderId="27" xfId="3" applyNumberFormat="1" applyFont="1" applyFill="1" applyBorder="1" applyAlignment="1" applyProtection="1">
      <alignment horizontal="right" vertical="center" shrinkToFit="1"/>
      <protection hidden="1"/>
    </xf>
    <xf numFmtId="3" fontId="12" fillId="0" borderId="0" xfId="0" applyNumberFormat="1" applyFont="1" applyAlignment="1" applyProtection="1">
      <alignment vertical="center"/>
      <protection hidden="1"/>
    </xf>
    <xf numFmtId="0" fontId="3" fillId="2" borderId="16" xfId="0" applyFont="1" applyFill="1" applyBorder="1" applyAlignment="1" applyProtection="1">
      <alignment horizontal="justify" vertical="center" wrapText="1"/>
      <protection hidden="1"/>
    </xf>
    <xf numFmtId="4" fontId="3" fillId="2" borderId="2" xfId="3" applyNumberFormat="1" applyFont="1" applyFill="1" applyBorder="1" applyAlignment="1" applyProtection="1">
      <alignment horizontal="right" vertical="center"/>
      <protection locked="0"/>
    </xf>
    <xf numFmtId="0" fontId="3" fillId="2" borderId="65" xfId="0" quotePrefix="1" applyFont="1" applyFill="1" applyBorder="1" applyAlignment="1" applyProtection="1">
      <alignment vertical="center" wrapText="1"/>
      <protection hidden="1"/>
    </xf>
    <xf numFmtId="0" fontId="3" fillId="0" borderId="16" xfId="0" applyFont="1" applyBorder="1" applyAlignment="1">
      <alignment vertical="center"/>
    </xf>
    <xf numFmtId="0" fontId="3" fillId="0" borderId="16" xfId="0" applyFont="1" applyBorder="1" applyAlignment="1">
      <alignment vertical="center" wrapText="1"/>
    </xf>
    <xf numFmtId="0" fontId="3" fillId="2" borderId="1" xfId="0" applyFont="1" applyFill="1" applyBorder="1" applyAlignment="1" applyProtection="1">
      <alignment vertical="center" shrinkToFit="1"/>
      <protection hidden="1"/>
    </xf>
    <xf numFmtId="0" fontId="17" fillId="11" borderId="0" xfId="0" applyFont="1" applyFill="1" applyAlignment="1" applyProtection="1">
      <alignment vertical="center" wrapText="1"/>
      <protection hidden="1"/>
    </xf>
    <xf numFmtId="0" fontId="3" fillId="2" borderId="67" xfId="0" applyFont="1" applyFill="1" applyBorder="1" applyAlignment="1" applyProtection="1">
      <alignment horizontal="justify" vertical="center" wrapText="1"/>
      <protection hidden="1"/>
    </xf>
    <xf numFmtId="3" fontId="44" fillId="2" borderId="19" xfId="3" applyNumberFormat="1" applyFont="1" applyFill="1" applyBorder="1" applyAlignment="1" applyProtection="1">
      <alignment horizontal="right" vertical="center" shrinkToFit="1"/>
      <protection locked="0"/>
    </xf>
    <xf numFmtId="3" fontId="44" fillId="2" borderId="27" xfId="3" applyNumberFormat="1" applyFont="1" applyFill="1" applyBorder="1" applyAlignment="1" applyProtection="1">
      <alignment horizontal="right" vertical="center" shrinkToFit="1"/>
      <protection locked="0"/>
    </xf>
    <xf numFmtId="164" fontId="8" fillId="2" borderId="27" xfId="4" applyFont="1" applyFill="1" applyBorder="1" applyAlignment="1" applyProtection="1">
      <alignment horizontal="center" vertical="center" shrinkToFit="1"/>
      <protection hidden="1"/>
    </xf>
    <xf numFmtId="3" fontId="3" fillId="2" borderId="24" xfId="3" applyNumberFormat="1" applyFont="1" applyFill="1" applyBorder="1" applyAlignment="1" applyProtection="1">
      <alignment horizontal="right" vertical="center" shrinkToFit="1"/>
      <protection hidden="1"/>
    </xf>
    <xf numFmtId="3" fontId="3" fillId="2" borderId="27" xfId="3" applyNumberFormat="1" applyFont="1" applyFill="1" applyBorder="1" applyAlignment="1" applyProtection="1">
      <alignment horizontal="right" vertical="center" shrinkToFit="1"/>
      <protection hidden="1"/>
    </xf>
    <xf numFmtId="3" fontId="44" fillId="2" borderId="24" xfId="3" applyNumberFormat="1" applyFont="1" applyFill="1" applyBorder="1" applyAlignment="1" applyProtection="1">
      <alignment horizontal="right" vertical="center" shrinkToFit="1"/>
      <protection locked="0"/>
    </xf>
    <xf numFmtId="0" fontId="10" fillId="5" borderId="3" xfId="0" applyFont="1" applyFill="1" applyBorder="1" applyAlignment="1" applyProtection="1">
      <alignment horizontal="justify" vertical="center"/>
      <protection hidden="1"/>
    </xf>
    <xf numFmtId="0" fontId="10" fillId="5" borderId="4" xfId="0" applyFont="1" applyFill="1" applyBorder="1" applyAlignment="1" applyProtection="1">
      <alignment horizontal="justify" vertical="center"/>
      <protection hidden="1"/>
    </xf>
    <xf numFmtId="0" fontId="8" fillId="0" borderId="19" xfId="0" applyFont="1" applyBorder="1" applyAlignment="1" applyProtection="1">
      <alignment horizontal="justify" vertical="center" wrapText="1"/>
      <protection hidden="1"/>
    </xf>
    <xf numFmtId="0" fontId="18" fillId="6" borderId="68" xfId="0" applyFont="1" applyFill="1" applyBorder="1" applyAlignment="1" applyProtection="1">
      <alignment horizontal="justify" vertical="center"/>
      <protection hidden="1"/>
    </xf>
    <xf numFmtId="0" fontId="18" fillId="6" borderId="66" xfId="0" applyFont="1" applyFill="1" applyBorder="1" applyAlignment="1" applyProtection="1">
      <alignment horizontal="justify" vertical="center"/>
      <protection hidden="1"/>
    </xf>
    <xf numFmtId="0" fontId="46" fillId="2" borderId="0" xfId="0" applyFont="1" applyFill="1" applyAlignment="1" applyProtection="1">
      <alignment horizontal="center" vertical="center" wrapText="1"/>
      <protection hidden="1"/>
    </xf>
    <xf numFmtId="0" fontId="16" fillId="2" borderId="0" xfId="0" applyFont="1" applyFill="1" applyAlignment="1" applyProtection="1">
      <alignment horizontal="center" vertical="center" wrapText="1"/>
      <protection hidden="1"/>
    </xf>
    <xf numFmtId="0" fontId="19" fillId="2" borderId="1" xfId="0" applyFont="1" applyFill="1" applyBorder="1" applyAlignment="1" applyProtection="1">
      <alignment horizontal="justify" vertical="center" wrapText="1"/>
      <protection hidden="1"/>
    </xf>
    <xf numFmtId="0" fontId="19" fillId="2" borderId="2" xfId="0" applyFont="1" applyFill="1" applyBorder="1" applyAlignment="1" applyProtection="1">
      <alignment horizontal="justify" vertical="center" wrapText="1"/>
      <protection hidden="1"/>
    </xf>
    <xf numFmtId="0" fontId="18" fillId="6" borderId="5" xfId="0" applyFont="1" applyFill="1" applyBorder="1" applyAlignment="1" applyProtection="1">
      <alignment horizontal="justify" vertical="center"/>
      <protection hidden="1"/>
    </xf>
    <xf numFmtId="0" fontId="18" fillId="6" borderId="6" xfId="0" applyFont="1" applyFill="1" applyBorder="1" applyAlignment="1" applyProtection="1">
      <alignment horizontal="justify" vertical="center"/>
      <protection hidden="1"/>
    </xf>
    <xf numFmtId="0" fontId="18" fillId="6" borderId="11" xfId="0" applyFont="1" applyFill="1" applyBorder="1" applyAlignment="1" applyProtection="1">
      <alignment horizontal="justify" vertical="center"/>
      <protection hidden="1"/>
    </xf>
    <xf numFmtId="0" fontId="18" fillId="6" borderId="10" xfId="0" applyFont="1" applyFill="1" applyBorder="1" applyAlignment="1" applyProtection="1">
      <alignment horizontal="justify" vertical="center"/>
      <protection hidden="1"/>
    </xf>
    <xf numFmtId="0" fontId="8" fillId="2" borderId="9" xfId="0" applyFont="1" applyFill="1" applyBorder="1" applyAlignment="1" applyProtection="1">
      <alignment horizontal="left" vertical="center" wrapText="1"/>
      <protection hidden="1"/>
    </xf>
    <xf numFmtId="0" fontId="8" fillId="2" borderId="12" xfId="0" applyFont="1" applyFill="1" applyBorder="1" applyAlignment="1" applyProtection="1">
      <alignment horizontal="left" vertical="center" wrapText="1"/>
      <protection hidden="1"/>
    </xf>
    <xf numFmtId="0" fontId="8" fillId="2" borderId="16" xfId="0" applyFont="1" applyFill="1" applyBorder="1" applyAlignment="1" applyProtection="1">
      <alignment horizontal="left" vertical="center"/>
      <protection hidden="1"/>
    </xf>
    <xf numFmtId="0" fontId="19" fillId="2" borderId="77" xfId="0" applyFont="1" applyFill="1" applyBorder="1" applyAlignment="1" applyProtection="1">
      <alignment horizontal="justify" vertical="center" wrapText="1"/>
      <protection hidden="1"/>
    </xf>
    <xf numFmtId="0" fontId="19" fillId="2" borderId="78" xfId="0" applyFont="1" applyFill="1" applyBorder="1" applyAlignment="1" applyProtection="1">
      <alignment horizontal="justify" vertical="center" wrapText="1"/>
      <protection hidden="1"/>
    </xf>
    <xf numFmtId="0" fontId="8" fillId="0" borderId="1" xfId="0" applyFont="1" applyBorder="1" applyAlignment="1" applyProtection="1">
      <alignment horizontal="justify" vertical="center" wrapText="1"/>
      <protection hidden="1"/>
    </xf>
    <xf numFmtId="0" fontId="8" fillId="0" borderId="2" xfId="0" applyFont="1" applyBorder="1" applyAlignment="1" applyProtection="1">
      <alignment horizontal="justify" vertical="center" wrapText="1"/>
      <protection hidden="1"/>
    </xf>
    <xf numFmtId="0" fontId="10" fillId="5" borderId="5" xfId="0" applyFont="1" applyFill="1" applyBorder="1" applyAlignment="1" applyProtection="1">
      <alignment horizontal="justify" vertical="center"/>
      <protection hidden="1"/>
    </xf>
    <xf numFmtId="0" fontId="10" fillId="5" borderId="6" xfId="0" applyFont="1" applyFill="1" applyBorder="1" applyAlignment="1" applyProtection="1">
      <alignment horizontal="justify" vertical="center"/>
      <protection hidden="1"/>
    </xf>
    <xf numFmtId="0" fontId="8" fillId="2" borderId="1" xfId="0" applyFont="1" applyFill="1" applyBorder="1" applyAlignment="1" applyProtection="1">
      <alignment horizontal="justify" vertical="center" wrapText="1"/>
      <protection hidden="1"/>
    </xf>
    <xf numFmtId="0" fontId="1" fillId="0" borderId="2" xfId="0" applyFont="1" applyBorder="1" applyAlignment="1">
      <alignment horizontal="justify" vertical="center"/>
    </xf>
    <xf numFmtId="164" fontId="19" fillId="2" borderId="43" xfId="4" applyFont="1" applyFill="1" applyBorder="1" applyAlignment="1" applyProtection="1">
      <alignment horizontal="center" vertical="center" wrapText="1"/>
      <protection hidden="1"/>
    </xf>
    <xf numFmtId="164" fontId="19" fillId="2" borderId="36" xfId="4" applyFont="1" applyFill="1" applyBorder="1" applyAlignment="1" applyProtection="1">
      <alignment horizontal="center" vertical="center" wrapText="1"/>
      <protection hidden="1"/>
    </xf>
    <xf numFmtId="164" fontId="19" fillId="2" borderId="37" xfId="4" applyFont="1" applyFill="1" applyBorder="1" applyAlignment="1" applyProtection="1">
      <alignment horizontal="center" vertical="center" wrapText="1"/>
      <protection hidden="1"/>
    </xf>
    <xf numFmtId="3" fontId="19" fillId="2" borderId="24" xfId="3" applyNumberFormat="1" applyFont="1" applyFill="1" applyBorder="1" applyAlignment="1" applyProtection="1">
      <alignment horizontal="right" vertical="center" shrinkToFit="1"/>
      <protection hidden="1"/>
    </xf>
    <xf numFmtId="3" fontId="19" fillId="2" borderId="19" xfId="3" applyNumberFormat="1" applyFont="1" applyFill="1" applyBorder="1" applyAlignment="1" applyProtection="1">
      <alignment horizontal="right" vertical="center" shrinkToFit="1"/>
      <protection hidden="1"/>
    </xf>
    <xf numFmtId="3" fontId="19" fillId="2" borderId="27" xfId="3" applyNumberFormat="1" applyFont="1" applyFill="1" applyBorder="1" applyAlignment="1" applyProtection="1">
      <alignment horizontal="right" vertical="center" shrinkToFit="1"/>
      <protection hidden="1"/>
    </xf>
    <xf numFmtId="3" fontId="16" fillId="0" borderId="19" xfId="3" applyNumberFormat="1" applyFont="1" applyFill="1" applyBorder="1" applyAlignment="1" applyProtection="1">
      <alignment horizontal="right" vertical="center" shrinkToFit="1"/>
      <protection hidden="1"/>
    </xf>
    <xf numFmtId="0" fontId="3" fillId="2" borderId="7" xfId="0" applyFont="1" applyFill="1" applyBorder="1" applyAlignment="1" applyProtection="1">
      <alignment horizontal="left" vertical="center" wrapText="1"/>
      <protection hidden="1"/>
    </xf>
    <xf numFmtId="0" fontId="3" fillId="2" borderId="54" xfId="0" applyFont="1" applyFill="1" applyBorder="1" applyAlignment="1" applyProtection="1">
      <alignment horizontal="left" vertical="center" wrapText="1"/>
      <protection hidden="1"/>
    </xf>
    <xf numFmtId="0" fontId="3" fillId="0" borderId="1" xfId="0" applyFont="1" applyBorder="1" applyAlignment="1" applyProtection="1">
      <alignment horizontal="left" vertical="center"/>
      <protection hidden="1"/>
    </xf>
    <xf numFmtId="0" fontId="3" fillId="0" borderId="2" xfId="0" applyFont="1" applyBorder="1" applyAlignment="1" applyProtection="1">
      <alignment horizontal="left" vertical="center"/>
      <protection hidden="1"/>
    </xf>
    <xf numFmtId="0" fontId="3" fillId="0" borderId="67" xfId="0" applyFont="1" applyBorder="1" applyAlignment="1" applyProtection="1">
      <alignment horizontal="left" vertical="center"/>
      <protection hidden="1"/>
    </xf>
    <xf numFmtId="0" fontId="3" fillId="0" borderId="74" xfId="0" applyFont="1" applyBorder="1" applyAlignment="1" applyProtection="1">
      <alignment horizontal="left" vertical="center"/>
      <protection hidden="1"/>
    </xf>
    <xf numFmtId="0" fontId="3" fillId="0" borderId="65" xfId="0" applyFont="1" applyBorder="1" applyAlignment="1" applyProtection="1">
      <alignment horizontal="left" vertical="center"/>
      <protection hidden="1"/>
    </xf>
    <xf numFmtId="0" fontId="8" fillId="0" borderId="42" xfId="0" applyFont="1" applyBorder="1" applyAlignment="1" applyProtection="1">
      <alignment horizontal="left" vertical="center" indent="1"/>
      <protection hidden="1"/>
    </xf>
    <xf numFmtId="0" fontId="1" fillId="0" borderId="41" xfId="0" applyFont="1" applyBorder="1" applyAlignment="1" applyProtection="1">
      <alignment horizontal="left" vertical="center" indent="1"/>
      <protection hidden="1"/>
    </xf>
    <xf numFmtId="0" fontId="1" fillId="0" borderId="2" xfId="0" applyFont="1" applyBorder="1" applyAlignment="1" applyProtection="1">
      <alignment horizontal="left" vertical="center" indent="1"/>
      <protection hidden="1"/>
    </xf>
    <xf numFmtId="0" fontId="3" fillId="2" borderId="19" xfId="0" applyFont="1" applyFill="1" applyBorder="1" applyAlignment="1" applyProtection="1">
      <alignment horizontal="left" vertical="center" wrapText="1"/>
      <protection hidden="1"/>
    </xf>
    <xf numFmtId="0" fontId="3" fillId="2" borderId="67" xfId="0" applyFont="1" applyFill="1" applyBorder="1" applyAlignment="1" applyProtection="1">
      <alignment horizontal="left" vertical="center" wrapText="1"/>
      <protection hidden="1"/>
    </xf>
    <xf numFmtId="0" fontId="8" fillId="2" borderId="24" xfId="0" applyFont="1" applyFill="1" applyBorder="1" applyAlignment="1" applyProtection="1">
      <alignment horizontal="center" vertical="center" wrapText="1"/>
      <protection hidden="1"/>
    </xf>
    <xf numFmtId="0" fontId="8" fillId="2" borderId="27" xfId="0" applyFont="1" applyFill="1" applyBorder="1" applyAlignment="1" applyProtection="1">
      <alignment horizontal="center" vertical="center" wrapText="1"/>
      <protection hidden="1"/>
    </xf>
    <xf numFmtId="164" fontId="8" fillId="2" borderId="24" xfId="4" applyFont="1" applyFill="1" applyBorder="1" applyAlignment="1" applyProtection="1">
      <alignment horizontal="center" vertical="center" wrapText="1"/>
      <protection hidden="1"/>
    </xf>
    <xf numFmtId="0" fontId="3" fillId="2" borderId="27" xfId="0" applyFont="1" applyFill="1" applyBorder="1" applyAlignment="1" applyProtection="1">
      <alignment horizontal="left" vertical="center" wrapText="1"/>
      <protection hidden="1"/>
    </xf>
    <xf numFmtId="164" fontId="8" fillId="2" borderId="27" xfId="4" applyFont="1" applyFill="1" applyBorder="1" applyAlignment="1" applyProtection="1">
      <alignment horizontal="center" vertical="center" wrapText="1"/>
      <protection hidden="1"/>
    </xf>
    <xf numFmtId="0" fontId="8" fillId="0" borderId="70" xfId="0" applyFont="1" applyBorder="1" applyAlignment="1" applyProtection="1">
      <alignment horizontal="left" vertical="center" indent="1"/>
      <protection hidden="1"/>
    </xf>
    <xf numFmtId="0" fontId="8" fillId="0" borderId="71" xfId="0" applyFont="1" applyBorder="1" applyAlignment="1" applyProtection="1">
      <alignment horizontal="left" vertical="center" indent="1"/>
      <protection hidden="1"/>
    </xf>
    <xf numFmtId="3" fontId="8" fillId="2" borderId="67" xfId="3" applyNumberFormat="1" applyFont="1" applyFill="1" applyBorder="1" applyAlignment="1" applyProtection="1">
      <alignment horizontal="right" vertical="center" shrinkToFit="1"/>
      <protection hidden="1"/>
    </xf>
    <xf numFmtId="3" fontId="8" fillId="2" borderId="74" xfId="3" applyNumberFormat="1" applyFont="1" applyFill="1" applyBorder="1" applyAlignment="1" applyProtection="1">
      <alignment horizontal="right" vertical="center" shrinkToFit="1"/>
      <protection hidden="1"/>
    </xf>
    <xf numFmtId="3" fontId="8" fillId="2" borderId="65" xfId="3" applyNumberFormat="1" applyFont="1" applyFill="1" applyBorder="1" applyAlignment="1" applyProtection="1">
      <alignment horizontal="right" vertical="center" shrinkToFit="1"/>
      <protection hidden="1"/>
    </xf>
    <xf numFmtId="3" fontId="19" fillId="2" borderId="67" xfId="3" applyNumberFormat="1" applyFont="1" applyFill="1" applyBorder="1" applyAlignment="1" applyProtection="1">
      <alignment horizontal="right" vertical="center" shrinkToFit="1"/>
      <protection hidden="1"/>
    </xf>
    <xf numFmtId="3" fontId="19" fillId="2" borderId="74" xfId="3" applyNumberFormat="1" applyFont="1" applyFill="1" applyBorder="1" applyAlignment="1" applyProtection="1">
      <alignment horizontal="right" vertical="center" shrinkToFit="1"/>
      <protection hidden="1"/>
    </xf>
    <xf numFmtId="3" fontId="19" fillId="2" borderId="65" xfId="3" applyNumberFormat="1" applyFont="1" applyFill="1" applyBorder="1" applyAlignment="1" applyProtection="1">
      <alignment horizontal="right" vertical="center" shrinkToFit="1"/>
      <protection hidden="1"/>
    </xf>
    <xf numFmtId="0" fontId="8" fillId="0" borderId="70" xfId="0" applyFont="1" applyBorder="1" applyAlignment="1" applyProtection="1">
      <alignment horizontal="left" vertical="center" wrapText="1" indent="1"/>
      <protection hidden="1"/>
    </xf>
    <xf numFmtId="0" fontId="8" fillId="0" borderId="71" xfId="0" applyFont="1" applyBorder="1" applyAlignment="1" applyProtection="1">
      <alignment horizontal="left" vertical="center" wrapText="1" indent="1"/>
      <protection hidden="1"/>
    </xf>
    <xf numFmtId="0" fontId="8" fillId="0" borderId="72" xfId="0" applyFont="1" applyBorder="1" applyAlignment="1" applyProtection="1">
      <alignment horizontal="left" vertical="center" wrapText="1" indent="1"/>
      <protection hidden="1"/>
    </xf>
    <xf numFmtId="0" fontId="19" fillId="2" borderId="14" xfId="0" applyFont="1" applyFill="1" applyBorder="1" applyAlignment="1" applyProtection="1">
      <alignment horizontal="center" vertical="center" wrapText="1"/>
      <protection hidden="1"/>
    </xf>
    <xf numFmtId="0" fontId="19" fillId="2" borderId="0" xfId="0" applyFont="1" applyFill="1" applyAlignment="1" applyProtection="1">
      <alignment horizontal="center" vertical="center" wrapText="1"/>
      <protection hidden="1"/>
    </xf>
    <xf numFmtId="0" fontId="22" fillId="0" borderId="0" xfId="0" applyFont="1" applyAlignment="1" applyProtection="1">
      <alignment horizontal="right" vertical="center"/>
      <protection hidden="1"/>
    </xf>
    <xf numFmtId="0" fontId="13" fillId="2" borderId="16" xfId="0" applyFont="1" applyFill="1" applyBorder="1" applyAlignment="1" applyProtection="1">
      <alignment horizontal="left" vertical="center" wrapText="1"/>
      <protection hidden="1"/>
    </xf>
    <xf numFmtId="0" fontId="10" fillId="6" borderId="45" xfId="0" applyFont="1" applyFill="1" applyBorder="1" applyAlignment="1" applyProtection="1">
      <alignment horizontal="left"/>
      <protection hidden="1"/>
    </xf>
    <xf numFmtId="0" fontId="10" fillId="6" borderId="46" xfId="0" applyFont="1" applyFill="1" applyBorder="1" applyAlignment="1" applyProtection="1">
      <alignment horizontal="left"/>
      <protection hidden="1"/>
    </xf>
    <xf numFmtId="3" fontId="8" fillId="2" borderId="16" xfId="0" applyNumberFormat="1" applyFont="1" applyFill="1" applyBorder="1" applyAlignment="1" applyProtection="1">
      <alignment horizontal="center" vertical="center" wrapText="1"/>
      <protection hidden="1"/>
    </xf>
    <xf numFmtId="164" fontId="8" fillId="2" borderId="16" xfId="4" applyFont="1" applyFill="1" applyBorder="1" applyAlignment="1" applyProtection="1">
      <alignment horizontal="center" vertical="center" wrapText="1"/>
      <protection hidden="1"/>
    </xf>
    <xf numFmtId="0" fontId="1" fillId="0" borderId="1" xfId="0" applyFont="1" applyBorder="1" applyAlignment="1" applyProtection="1">
      <alignment horizontal="justify" vertical="center" wrapText="1"/>
      <protection hidden="1"/>
    </xf>
    <xf numFmtId="0" fontId="1" fillId="0" borderId="41" xfId="0" applyFont="1" applyBorder="1" applyAlignment="1" applyProtection="1">
      <alignment horizontal="justify" vertical="center" wrapText="1"/>
      <protection hidden="1"/>
    </xf>
    <xf numFmtId="0" fontId="1" fillId="0" borderId="2" xfId="0" applyFont="1" applyBorder="1" applyAlignment="1" applyProtection="1">
      <alignment horizontal="justify" vertical="center" wrapText="1"/>
      <protection hidden="1"/>
    </xf>
    <xf numFmtId="0" fontId="8" fillId="0" borderId="23" xfId="0" applyFont="1" applyBorder="1" applyAlignment="1" applyProtection="1">
      <alignment horizontal="left" vertical="center"/>
      <protection hidden="1"/>
    </xf>
    <xf numFmtId="0" fontId="8" fillId="0" borderId="29" xfId="0" applyFont="1" applyBorder="1" applyAlignment="1" applyProtection="1">
      <alignment horizontal="left" vertical="center"/>
      <protection hidden="1"/>
    </xf>
    <xf numFmtId="0" fontId="8" fillId="0" borderId="26" xfId="0" applyFont="1" applyBorder="1" applyAlignment="1" applyProtection="1">
      <alignment horizontal="left" vertical="center"/>
      <protection hidden="1"/>
    </xf>
    <xf numFmtId="0" fontId="3" fillId="2" borderId="24" xfId="0" applyFont="1" applyFill="1" applyBorder="1" applyAlignment="1" applyProtection="1">
      <alignment horizontal="left" vertical="center" wrapText="1"/>
      <protection hidden="1"/>
    </xf>
    <xf numFmtId="3" fontId="8" fillId="2" borderId="24" xfId="3" applyNumberFormat="1" applyFont="1" applyFill="1" applyBorder="1" applyAlignment="1" applyProtection="1">
      <alignment horizontal="right" vertical="center" shrinkToFit="1"/>
      <protection hidden="1"/>
    </xf>
    <xf numFmtId="3" fontId="8" fillId="2" borderId="19" xfId="3" applyNumberFormat="1" applyFont="1" applyFill="1" applyBorder="1" applyAlignment="1" applyProtection="1">
      <alignment horizontal="right" vertical="center" shrinkToFit="1"/>
      <protection hidden="1"/>
    </xf>
    <xf numFmtId="3" fontId="8" fillId="2" borderId="27" xfId="3" applyNumberFormat="1" applyFont="1" applyFill="1" applyBorder="1" applyAlignment="1" applyProtection="1">
      <alignment horizontal="right" vertical="center" shrinkToFit="1"/>
      <protection hidden="1"/>
    </xf>
    <xf numFmtId="0" fontId="26" fillId="0" borderId="13" xfId="0" applyFont="1" applyBorder="1" applyAlignment="1" applyProtection="1">
      <alignment horizontal="left" vertical="center" wrapText="1"/>
      <protection hidden="1"/>
    </xf>
    <xf numFmtId="0" fontId="26" fillId="0" borderId="14" xfId="0" applyFont="1" applyBorder="1" applyAlignment="1" applyProtection="1">
      <alignment horizontal="left" vertical="center" wrapText="1"/>
      <protection hidden="1"/>
    </xf>
    <xf numFmtId="0" fontId="26" fillId="0" borderId="57" xfId="0" applyFont="1" applyBorder="1" applyAlignment="1" applyProtection="1">
      <alignment horizontal="left" vertical="center" wrapText="1"/>
      <protection hidden="1"/>
    </xf>
    <xf numFmtId="3" fontId="26" fillId="2" borderId="58" xfId="0" applyNumberFormat="1" applyFont="1" applyFill="1" applyBorder="1" applyAlignment="1" applyProtection="1">
      <alignment horizontal="right" vertical="center" wrapText="1"/>
      <protection hidden="1"/>
    </xf>
    <xf numFmtId="0" fontId="26" fillId="2" borderId="59" xfId="0" applyFont="1" applyFill="1" applyBorder="1" applyAlignment="1" applyProtection="1">
      <alignment horizontal="right" vertical="center" wrapText="1"/>
      <protection hidden="1"/>
    </xf>
    <xf numFmtId="3" fontId="19" fillId="0" borderId="16" xfId="3" applyNumberFormat="1" applyFont="1" applyFill="1" applyBorder="1" applyAlignment="1" applyProtection="1">
      <alignment horizontal="right" vertical="center" shrinkToFit="1"/>
      <protection hidden="1"/>
    </xf>
    <xf numFmtId="0" fontId="33" fillId="0" borderId="47" xfId="0" applyFont="1" applyBorder="1" applyAlignment="1" applyProtection="1">
      <alignment horizontal="left" vertical="center" wrapText="1"/>
      <protection hidden="1"/>
    </xf>
    <xf numFmtId="0" fontId="33" fillId="0" borderId="46" xfId="0" applyFont="1" applyBorder="1" applyAlignment="1" applyProtection="1">
      <alignment horizontal="left" vertical="center" wrapText="1"/>
      <protection hidden="1"/>
    </xf>
    <xf numFmtId="0" fontId="33" fillId="0" borderId="60" xfId="0" applyFont="1" applyBorder="1" applyAlignment="1" applyProtection="1">
      <alignment horizontal="left" vertical="center" wrapText="1"/>
      <protection hidden="1"/>
    </xf>
    <xf numFmtId="3" fontId="3" fillId="0" borderId="16" xfId="3" applyNumberFormat="1" applyFont="1" applyFill="1" applyBorder="1" applyAlignment="1" applyProtection="1">
      <alignment horizontal="right" vertical="center" shrinkToFit="1"/>
      <protection hidden="1"/>
    </xf>
    <xf numFmtId="0" fontId="8" fillId="0" borderId="29" xfId="0" applyFont="1" applyBorder="1" applyAlignment="1" applyProtection="1">
      <alignment horizontal="left" vertical="center" wrapText="1" indent="1"/>
      <protection hidden="1"/>
    </xf>
    <xf numFmtId="0" fontId="8" fillId="0" borderId="26" xfId="0" applyFont="1" applyBorder="1" applyAlignment="1" applyProtection="1">
      <alignment horizontal="left" vertical="center" wrapText="1" indent="1"/>
      <protection hidden="1"/>
    </xf>
    <xf numFmtId="3" fontId="33" fillId="2" borderId="61" xfId="0" applyNumberFormat="1" applyFont="1" applyFill="1" applyBorder="1" applyAlignment="1" applyProtection="1">
      <alignment horizontal="right" vertical="center" wrapText="1"/>
      <protection hidden="1"/>
    </xf>
    <xf numFmtId="3" fontId="33" fillId="2" borderId="62" xfId="0" applyNumberFormat="1" applyFont="1" applyFill="1" applyBorder="1" applyAlignment="1" applyProtection="1">
      <alignment horizontal="right" vertical="center" wrapText="1"/>
      <protection hidden="1"/>
    </xf>
    <xf numFmtId="0" fontId="31" fillId="2" borderId="16" xfId="0" applyFont="1" applyFill="1" applyBorder="1" applyAlignment="1" applyProtection="1">
      <alignment horizontal="left" vertical="center" wrapText="1"/>
      <protection hidden="1"/>
    </xf>
    <xf numFmtId="0" fontId="8" fillId="0" borderId="16" xfId="0" applyFont="1" applyBorder="1" applyAlignment="1" applyProtection="1">
      <alignment horizontal="center" vertical="center" wrapText="1"/>
      <protection hidden="1"/>
    </xf>
    <xf numFmtId="0" fontId="22" fillId="0" borderId="22" xfId="0" applyFont="1" applyBorder="1" applyAlignment="1" applyProtection="1">
      <alignment horizontal="center"/>
      <protection locked="0"/>
    </xf>
    <xf numFmtId="0" fontId="22" fillId="0" borderId="22" xfId="0" applyFont="1" applyBorder="1" applyAlignment="1" applyProtection="1">
      <alignment horizontal="center" wrapText="1"/>
      <protection locked="0"/>
    </xf>
    <xf numFmtId="0" fontId="10" fillId="6" borderId="1" xfId="0" applyFont="1" applyFill="1" applyBorder="1" applyAlignment="1" applyProtection="1">
      <alignment horizontal="left"/>
      <protection hidden="1"/>
    </xf>
    <xf numFmtId="0" fontId="10" fillId="6" borderId="41" xfId="0" applyFont="1" applyFill="1" applyBorder="1" applyAlignment="1" applyProtection="1">
      <alignment horizontal="left"/>
      <protection hidden="1"/>
    </xf>
    <xf numFmtId="0" fontId="10" fillId="6" borderId="2" xfId="0" applyFont="1" applyFill="1" applyBorder="1" applyAlignment="1" applyProtection="1">
      <alignment horizontal="left"/>
      <protection hidden="1"/>
    </xf>
    <xf numFmtId="0" fontId="22" fillId="0" borderId="20" xfId="0" applyFont="1" applyBorder="1" applyAlignment="1" applyProtection="1">
      <alignment horizontal="center"/>
      <protection hidden="1"/>
    </xf>
    <xf numFmtId="0" fontId="0" fillId="0" borderId="41" xfId="0" applyBorder="1" applyAlignment="1" applyProtection="1">
      <alignment horizontal="justify" vertical="center" wrapText="1"/>
      <protection hidden="1"/>
    </xf>
    <xf numFmtId="0" fontId="0" fillId="0" borderId="2" xfId="0" applyBorder="1" applyAlignment="1" applyProtection="1">
      <alignment horizontal="justify" vertical="center" wrapText="1"/>
      <protection hidden="1"/>
    </xf>
    <xf numFmtId="0" fontId="1" fillId="2" borderId="1" xfId="0" applyFont="1" applyFill="1" applyBorder="1" applyAlignment="1" applyProtection="1">
      <alignment horizontal="justify" vertical="center" wrapText="1"/>
      <protection hidden="1"/>
    </xf>
    <xf numFmtId="0" fontId="13" fillId="0" borderId="21" xfId="0" applyFont="1" applyBorder="1" applyAlignment="1" applyProtection="1">
      <alignment horizontal="center" vertical="center"/>
      <protection hidden="1"/>
    </xf>
    <xf numFmtId="0" fontId="12" fillId="0" borderId="0" xfId="0" applyFont="1" applyAlignment="1" applyProtection="1">
      <alignment horizontal="center" vertical="center" wrapText="1"/>
      <protection hidden="1"/>
    </xf>
    <xf numFmtId="0" fontId="16" fillId="2" borderId="0" xfId="0" applyFont="1" applyFill="1" applyAlignment="1" applyProtection="1">
      <alignment horizontal="left" vertical="center" wrapText="1"/>
      <protection hidden="1"/>
    </xf>
    <xf numFmtId="0" fontId="12" fillId="0" borderId="63" xfId="0" applyFont="1" applyBorder="1" applyAlignment="1" applyProtection="1">
      <alignment horizontal="left" wrapText="1"/>
      <protection locked="0"/>
    </xf>
    <xf numFmtId="3" fontId="31" fillId="0" borderId="16" xfId="3" applyNumberFormat="1" applyFont="1" applyFill="1" applyBorder="1" applyAlignment="1" applyProtection="1">
      <alignment horizontal="right" vertical="center" shrinkToFit="1"/>
      <protection hidden="1"/>
    </xf>
    <xf numFmtId="0" fontId="3" fillId="2" borderId="19" xfId="0" applyFont="1" applyFill="1" applyBorder="1" applyAlignment="1" applyProtection="1">
      <alignment horizontal="justify" vertical="center" wrapText="1"/>
      <protection hidden="1"/>
    </xf>
    <xf numFmtId="0" fontId="8" fillId="0" borderId="35" xfId="0" applyFont="1" applyBorder="1" applyAlignment="1" applyProtection="1">
      <alignment horizontal="left" vertical="center"/>
      <protection hidden="1"/>
    </xf>
    <xf numFmtId="0" fontId="8" fillId="0" borderId="36" xfId="0" applyFont="1" applyBorder="1" applyAlignment="1" applyProtection="1">
      <alignment horizontal="left" vertical="center"/>
      <protection hidden="1"/>
    </xf>
    <xf numFmtId="0" fontId="8" fillId="0" borderId="37" xfId="0" applyFont="1" applyBorder="1" applyAlignment="1" applyProtection="1">
      <alignment horizontal="left" vertical="center"/>
      <protection hidden="1"/>
    </xf>
    <xf numFmtId="3" fontId="16" fillId="0" borderId="24" xfId="3" applyNumberFormat="1" applyFont="1" applyFill="1" applyBorder="1" applyAlignment="1" applyProtection="1">
      <alignment horizontal="right" vertical="center" shrinkToFit="1"/>
      <protection hidden="1"/>
    </xf>
    <xf numFmtId="0" fontId="3" fillId="0" borderId="19" xfId="0" applyFont="1" applyBorder="1" applyAlignment="1" applyProtection="1">
      <alignment horizontal="left" vertical="center" wrapText="1"/>
      <protection hidden="1"/>
    </xf>
    <xf numFmtId="0" fontId="3" fillId="0" borderId="19" xfId="0" applyFont="1" applyBorder="1" applyAlignment="1" applyProtection="1">
      <alignment horizontal="left" vertical="center"/>
      <protection hidden="1"/>
    </xf>
    <xf numFmtId="0" fontId="3" fillId="2" borderId="16" xfId="0" applyFont="1" applyFill="1" applyBorder="1" applyAlignment="1" applyProtection="1">
      <alignment horizontal="left" vertical="center" wrapText="1"/>
      <protection hidden="1"/>
    </xf>
    <xf numFmtId="0" fontId="3" fillId="2" borderId="17" xfId="0" applyFont="1" applyFill="1" applyBorder="1" applyAlignment="1" applyProtection="1">
      <alignment horizontal="left" vertical="center" wrapText="1"/>
      <protection hidden="1"/>
    </xf>
    <xf numFmtId="0" fontId="3" fillId="2" borderId="69" xfId="0" applyFont="1" applyFill="1" applyBorder="1" applyAlignment="1" applyProtection="1">
      <alignment horizontal="left" vertical="center" wrapText="1"/>
      <protection hidden="1"/>
    </xf>
    <xf numFmtId="0" fontId="3" fillId="2" borderId="18" xfId="0" applyFont="1" applyFill="1" applyBorder="1" applyAlignment="1" applyProtection="1">
      <alignment horizontal="left" vertical="center" wrapText="1"/>
      <protection hidden="1"/>
    </xf>
    <xf numFmtId="0" fontId="3" fillId="2" borderId="17" xfId="0" applyFont="1" applyFill="1" applyBorder="1" applyAlignment="1" applyProtection="1">
      <alignment horizontal="center" vertical="center" wrapText="1"/>
      <protection hidden="1"/>
    </xf>
    <xf numFmtId="0" fontId="3" fillId="2" borderId="69" xfId="0" applyFont="1" applyFill="1" applyBorder="1" applyAlignment="1" applyProtection="1">
      <alignment horizontal="center" vertical="center" wrapText="1"/>
      <protection hidden="1"/>
    </xf>
    <xf numFmtId="0" fontId="3" fillId="2" borderId="18" xfId="0" applyFont="1" applyFill="1" applyBorder="1" applyAlignment="1" applyProtection="1">
      <alignment horizontal="center" vertical="center" wrapText="1"/>
      <protection hidden="1"/>
    </xf>
    <xf numFmtId="3" fontId="12" fillId="0" borderId="0" xfId="0" applyNumberFormat="1" applyFont="1" applyAlignment="1" applyProtection="1">
      <alignment horizontal="right" vertical="center"/>
      <protection hidden="1"/>
    </xf>
    <xf numFmtId="3" fontId="19" fillId="2" borderId="76" xfId="3" applyNumberFormat="1" applyFont="1" applyFill="1" applyBorder="1" applyAlignment="1" applyProtection="1">
      <alignment horizontal="right" vertical="center" shrinkToFit="1"/>
      <protection hidden="1"/>
    </xf>
    <xf numFmtId="0" fontId="25" fillId="0" borderId="0" xfId="0" applyFont="1" applyAlignment="1" applyProtection="1">
      <alignment horizontal="center"/>
      <protection hidden="1"/>
    </xf>
    <xf numFmtId="0" fontId="11" fillId="0" borderId="0" xfId="0" applyFont="1" applyAlignment="1" applyProtection="1">
      <alignment horizontal="center" vertical="center"/>
      <protection hidden="1"/>
    </xf>
    <xf numFmtId="0" fontId="10" fillId="6" borderId="19" xfId="0" applyFont="1" applyFill="1" applyBorder="1" applyAlignment="1" applyProtection="1">
      <alignment horizontal="left"/>
      <protection hidden="1"/>
    </xf>
    <xf numFmtId="0" fontId="13" fillId="2" borderId="19" xfId="0" applyFont="1" applyFill="1" applyBorder="1" applyAlignment="1" applyProtection="1">
      <alignment horizontal="left" vertical="center" wrapText="1"/>
      <protection hidden="1"/>
    </xf>
    <xf numFmtId="0" fontId="23" fillId="2" borderId="19" xfId="0" applyFont="1" applyFill="1" applyBorder="1" applyAlignment="1" applyProtection="1">
      <alignment horizontal="left" vertical="center" wrapText="1"/>
      <protection locked="0"/>
    </xf>
    <xf numFmtId="0" fontId="23" fillId="0" borderId="19" xfId="0" applyFont="1" applyBorder="1" applyAlignment="1" applyProtection="1">
      <alignment horizontal="left"/>
      <protection locked="0"/>
    </xf>
    <xf numFmtId="0" fontId="17" fillId="0" borderId="75" xfId="0" applyFont="1" applyBorder="1" applyAlignment="1" applyProtection="1">
      <alignment horizontal="center" vertical="center" wrapText="1"/>
      <protection hidden="1"/>
    </xf>
    <xf numFmtId="0" fontId="17" fillId="0" borderId="0" xfId="0" applyFont="1" applyAlignment="1" applyProtection="1">
      <alignment horizontal="center" vertical="center" wrapText="1"/>
      <protection hidden="1"/>
    </xf>
    <xf numFmtId="14" fontId="30" fillId="0" borderId="75" xfId="0" applyNumberFormat="1" applyFont="1" applyBorder="1" applyAlignment="1" applyProtection="1">
      <alignment horizontal="center" vertical="center" wrapText="1"/>
      <protection hidden="1"/>
    </xf>
    <xf numFmtId="14" fontId="30" fillId="0" borderId="0" xfId="0" applyNumberFormat="1" applyFont="1" applyAlignment="1" applyProtection="1">
      <alignment horizontal="center" vertical="center" wrapText="1"/>
      <protection hidden="1"/>
    </xf>
    <xf numFmtId="164" fontId="8" fillId="2" borderId="25" xfId="4" applyFont="1" applyFill="1" applyBorder="1" applyAlignment="1" applyProtection="1">
      <alignment horizontal="center" vertical="center" wrapText="1"/>
      <protection hidden="1"/>
    </xf>
    <xf numFmtId="0" fontId="3" fillId="2" borderId="43" xfId="0" applyFont="1" applyFill="1" applyBorder="1" applyAlignment="1" applyProtection="1">
      <alignment horizontal="left" vertical="center" wrapText="1"/>
      <protection hidden="1"/>
    </xf>
    <xf numFmtId="0" fontId="3" fillId="2" borderId="37" xfId="0" applyFont="1" applyFill="1" applyBorder="1" applyAlignment="1" applyProtection="1">
      <alignment horizontal="left" vertical="center" wrapText="1"/>
      <protection hidden="1"/>
    </xf>
    <xf numFmtId="0" fontId="8" fillId="2" borderId="23" xfId="0" applyFont="1" applyFill="1" applyBorder="1" applyAlignment="1" applyProtection="1">
      <alignment horizontal="left" vertical="center"/>
      <protection hidden="1"/>
    </xf>
    <xf numFmtId="0" fontId="8" fillId="2" borderId="24" xfId="0" applyFont="1" applyFill="1" applyBorder="1" applyAlignment="1" applyProtection="1">
      <alignment horizontal="left" vertical="center"/>
      <protection hidden="1"/>
    </xf>
    <xf numFmtId="0" fontId="8" fillId="2" borderId="26" xfId="0" applyFont="1" applyFill="1" applyBorder="1" applyAlignment="1" applyProtection="1">
      <alignment horizontal="left" vertical="center"/>
      <protection hidden="1"/>
    </xf>
    <xf numFmtId="0" fontId="8" fillId="2" borderId="27" xfId="0" applyFont="1" applyFill="1" applyBorder="1" applyAlignment="1" applyProtection="1">
      <alignment horizontal="left" vertical="center"/>
      <protection hidden="1"/>
    </xf>
    <xf numFmtId="0" fontId="8" fillId="2" borderId="24" xfId="0" applyFont="1" applyFill="1" applyBorder="1" applyAlignment="1" applyProtection="1">
      <alignment horizontal="center" vertical="center" wrapText="1" shrinkToFit="1"/>
      <protection hidden="1"/>
    </xf>
    <xf numFmtId="0" fontId="8" fillId="2" borderId="27" xfId="0" applyFont="1" applyFill="1" applyBorder="1" applyAlignment="1" applyProtection="1">
      <alignment horizontal="center" vertical="center" wrapText="1" shrinkToFit="1"/>
      <protection hidden="1"/>
    </xf>
    <xf numFmtId="0" fontId="3" fillId="0" borderId="21" xfId="0" applyFont="1" applyBorder="1" applyAlignment="1" applyProtection="1">
      <alignment horizontal="center" vertical="center" wrapText="1"/>
      <protection hidden="1"/>
    </xf>
    <xf numFmtId="0" fontId="8" fillId="0" borderId="21" xfId="0" applyFont="1" applyBorder="1" applyAlignment="1" applyProtection="1">
      <alignment horizontal="center" vertical="center" wrapText="1"/>
      <protection hidden="1"/>
    </xf>
    <xf numFmtId="0" fontId="3" fillId="0" borderId="0" xfId="0" applyFont="1" applyAlignment="1" applyProtection="1">
      <alignment horizontal="center" vertical="center" wrapText="1"/>
      <protection hidden="1"/>
    </xf>
    <xf numFmtId="0" fontId="3" fillId="0" borderId="0" xfId="0" applyFont="1" applyAlignment="1" applyProtection="1">
      <alignment horizontal="justify" vertical="center" wrapText="1"/>
      <protection hidden="1"/>
    </xf>
    <xf numFmtId="0" fontId="3" fillId="0" borderId="16" xfId="0" applyFont="1" applyBorder="1" applyAlignment="1" applyProtection="1">
      <alignment horizontal="justify" vertical="center" wrapText="1"/>
      <protection hidden="1"/>
    </xf>
    <xf numFmtId="0" fontId="1" fillId="0" borderId="16" xfId="0" applyFont="1" applyBorder="1" applyAlignment="1" applyProtection="1">
      <alignment horizontal="justify" vertical="center" wrapText="1"/>
      <protection hidden="1"/>
    </xf>
    <xf numFmtId="0" fontId="3" fillId="2" borderId="16" xfId="0" applyFont="1" applyFill="1" applyBorder="1" applyAlignment="1" applyProtection="1">
      <alignment horizontal="justify" vertical="center" wrapText="1"/>
      <protection hidden="1"/>
    </xf>
    <xf numFmtId="0" fontId="1" fillId="2" borderId="16" xfId="0" applyFont="1" applyFill="1" applyBorder="1" applyAlignment="1" applyProtection="1">
      <alignment horizontal="justify" vertical="center" wrapText="1"/>
      <protection hidden="1"/>
    </xf>
    <xf numFmtId="0" fontId="8" fillId="0" borderId="51" xfId="0" applyFont="1" applyBorder="1" applyAlignment="1" applyProtection="1">
      <alignment horizontal="left" vertical="center" wrapText="1"/>
      <protection hidden="1"/>
    </xf>
    <xf numFmtId="0" fontId="8" fillId="0" borderId="52" xfId="0" applyFont="1" applyBorder="1" applyAlignment="1" applyProtection="1">
      <alignment horizontal="left" vertical="center" wrapText="1"/>
      <protection hidden="1"/>
    </xf>
    <xf numFmtId="0" fontId="8" fillId="0" borderId="53" xfId="0" applyFont="1" applyBorder="1" applyAlignment="1" applyProtection="1">
      <alignment horizontal="left" vertical="center" wrapText="1"/>
      <protection hidden="1"/>
    </xf>
    <xf numFmtId="0" fontId="3" fillId="2" borderId="1" xfId="0" applyFont="1" applyFill="1" applyBorder="1" applyAlignment="1" applyProtection="1">
      <alignment horizontal="justify" vertical="center" wrapText="1"/>
      <protection hidden="1"/>
    </xf>
    <xf numFmtId="0" fontId="35" fillId="0" borderId="16" xfId="0" applyFont="1" applyBorder="1" applyAlignment="1" applyProtection="1">
      <alignment horizontal="left" vertical="center" wrapText="1"/>
      <protection hidden="1"/>
    </xf>
    <xf numFmtId="0" fontId="44" fillId="0" borderId="16" xfId="0" applyFont="1" applyBorder="1" applyAlignment="1" applyProtection="1">
      <alignment horizontal="left"/>
      <protection locked="0"/>
    </xf>
    <xf numFmtId="0" fontId="45" fillId="0" borderId="17" xfId="0" applyFont="1" applyBorder="1" applyAlignment="1" applyProtection="1">
      <alignment horizontal="center" vertical="center"/>
      <protection locked="0"/>
    </xf>
    <xf numFmtId="0" fontId="45" fillId="0" borderId="18" xfId="0" applyFont="1" applyBorder="1" applyAlignment="1" applyProtection="1">
      <alignment horizontal="center" vertical="center"/>
      <protection locked="0"/>
    </xf>
    <xf numFmtId="0" fontId="19" fillId="0" borderId="29" xfId="0" applyFont="1" applyBorder="1" applyAlignment="1" applyProtection="1">
      <alignment horizontal="left" vertical="center" wrapText="1" indent="1"/>
      <protection hidden="1"/>
    </xf>
    <xf numFmtId="0" fontId="8" fillId="2" borderId="0" xfId="0" applyFont="1" applyFill="1" applyAlignment="1" applyProtection="1">
      <alignment horizontal="left" vertical="center" wrapText="1"/>
      <protection hidden="1"/>
    </xf>
    <xf numFmtId="0" fontId="3" fillId="0" borderId="0" xfId="0" applyFont="1" applyAlignment="1" applyProtection="1">
      <alignment horizontal="left"/>
      <protection hidden="1"/>
    </xf>
    <xf numFmtId="0" fontId="3" fillId="0" borderId="0" xfId="0" applyFont="1" applyAlignment="1" applyProtection="1">
      <alignment horizontal="left" wrapText="1"/>
      <protection hidden="1"/>
    </xf>
    <xf numFmtId="0" fontId="1" fillId="0" borderId="0" xfId="0" applyFont="1" applyAlignment="1" applyProtection="1">
      <alignment horizontal="left" wrapText="1"/>
      <protection hidden="1"/>
    </xf>
    <xf numFmtId="0" fontId="2" fillId="0" borderId="15" xfId="0" applyFont="1" applyBorder="1" applyAlignment="1" applyProtection="1">
      <alignment horizontal="left" vertical="top" wrapText="1"/>
      <protection hidden="1"/>
    </xf>
    <xf numFmtId="0" fontId="19" fillId="0" borderId="73" xfId="0" applyFont="1" applyBorder="1" applyAlignment="1" applyProtection="1">
      <alignment horizontal="left" vertical="center" wrapText="1"/>
      <protection hidden="1"/>
    </xf>
    <xf numFmtId="0" fontId="19" fillId="0" borderId="71" xfId="0" applyFont="1" applyBorder="1" applyAlignment="1" applyProtection="1">
      <alignment horizontal="left" vertical="center" wrapText="1"/>
      <protection hidden="1"/>
    </xf>
    <xf numFmtId="0" fontId="19" fillId="0" borderId="72" xfId="0" applyFont="1" applyBorder="1" applyAlignment="1" applyProtection="1">
      <alignment horizontal="left" vertical="center" wrapText="1"/>
      <protection hidden="1"/>
    </xf>
    <xf numFmtId="3" fontId="8" fillId="2" borderId="58" xfId="3" applyNumberFormat="1" applyFont="1" applyFill="1" applyBorder="1" applyAlignment="1" applyProtection="1">
      <alignment horizontal="right" vertical="center" shrinkToFit="1"/>
      <protection hidden="1"/>
    </xf>
    <xf numFmtId="0" fontId="23" fillId="0" borderId="48" xfId="0" applyFont="1" applyBorder="1" applyAlignment="1" applyProtection="1">
      <alignment vertical="top" wrapText="1"/>
      <protection locked="0"/>
    </xf>
    <xf numFmtId="0" fontId="23" fillId="0" borderId="49" xfId="0" applyFont="1" applyBorder="1" applyAlignment="1" applyProtection="1">
      <alignment vertical="top" wrapText="1"/>
      <protection locked="0"/>
    </xf>
    <xf numFmtId="0" fontId="23" fillId="0" borderId="50" xfId="0" applyFont="1" applyBorder="1" applyAlignment="1" applyProtection="1">
      <alignment vertical="top" wrapText="1"/>
      <protection locked="0"/>
    </xf>
    <xf numFmtId="0" fontId="24" fillId="0" borderId="19" xfId="0" applyFont="1" applyBorder="1" applyAlignment="1" applyProtection="1">
      <alignment horizontal="center" vertical="center" wrapText="1"/>
      <protection hidden="1"/>
    </xf>
    <xf numFmtId="0" fontId="8" fillId="0" borderId="19" xfId="0" applyFont="1" applyBorder="1" applyAlignment="1" applyProtection="1">
      <alignment horizontal="center" vertical="center" wrapText="1"/>
      <protection hidden="1"/>
    </xf>
    <xf numFmtId="0" fontId="3" fillId="2" borderId="44" xfId="0" applyFont="1" applyFill="1" applyBorder="1" applyAlignment="1" applyProtection="1">
      <alignment horizontal="left" vertical="center" wrapText="1"/>
      <protection hidden="1"/>
    </xf>
    <xf numFmtId="0" fontId="3" fillId="2" borderId="8" xfId="0" applyFont="1" applyFill="1" applyBorder="1" applyAlignment="1" applyProtection="1">
      <alignment horizontal="left" vertical="center" wrapText="1"/>
      <protection hidden="1"/>
    </xf>
    <xf numFmtId="0" fontId="3" fillId="2" borderId="55" xfId="0" applyFont="1" applyFill="1" applyBorder="1" applyAlignment="1" applyProtection="1">
      <alignment horizontal="left" vertical="center" wrapText="1"/>
      <protection hidden="1"/>
    </xf>
    <xf numFmtId="0" fontId="3" fillId="2" borderId="56" xfId="0" applyFont="1" applyFill="1" applyBorder="1" applyAlignment="1" applyProtection="1">
      <alignment horizontal="left" vertical="center" wrapText="1"/>
      <protection hidden="1"/>
    </xf>
    <xf numFmtId="3" fontId="44" fillId="0" borderId="19" xfId="3" applyNumberFormat="1" applyFont="1" applyFill="1" applyBorder="1" applyAlignment="1" applyProtection="1">
      <alignment horizontal="right" vertical="center" shrinkToFit="1"/>
      <protection locked="0"/>
    </xf>
    <xf numFmtId="164" fontId="8" fillId="2" borderId="1" xfId="4" applyFont="1" applyFill="1" applyBorder="1" applyAlignment="1" applyProtection="1">
      <alignment horizontal="center" vertical="center" wrapText="1"/>
      <protection hidden="1"/>
    </xf>
    <xf numFmtId="164" fontId="8" fillId="2" borderId="2" xfId="4" applyFont="1" applyFill="1" applyBorder="1" applyAlignment="1" applyProtection="1">
      <alignment horizontal="center" vertical="center" wrapText="1"/>
      <protection hidden="1"/>
    </xf>
    <xf numFmtId="3" fontId="8" fillId="2" borderId="19" xfId="0" applyNumberFormat="1" applyFont="1" applyFill="1" applyBorder="1" applyAlignment="1" applyProtection="1">
      <alignment horizontal="center" vertical="center" wrapText="1"/>
      <protection hidden="1"/>
    </xf>
    <xf numFmtId="0" fontId="28" fillId="0" borderId="0" xfId="0" applyFont="1" applyAlignment="1" applyProtection="1">
      <alignment horizontal="center"/>
      <protection hidden="1"/>
    </xf>
    <xf numFmtId="0" fontId="1" fillId="0" borderId="0" xfId="0" applyFont="1" applyAlignment="1" applyProtection="1">
      <alignment horizontal="center" vertical="center"/>
      <protection hidden="1"/>
    </xf>
    <xf numFmtId="0" fontId="44" fillId="0" borderId="16" xfId="0" applyFont="1" applyBorder="1" applyAlignment="1" applyProtection="1">
      <alignment horizontal="left"/>
      <protection hidden="1"/>
    </xf>
    <xf numFmtId="0" fontId="35" fillId="0" borderId="19" xfId="0" applyFont="1" applyBorder="1" applyAlignment="1" applyProtection="1">
      <alignment horizontal="left" vertical="center" wrapText="1"/>
      <protection hidden="1"/>
    </xf>
    <xf numFmtId="0" fontId="35" fillId="0" borderId="44" xfId="0" applyFont="1" applyBorder="1" applyAlignment="1" applyProtection="1">
      <alignment horizontal="left" vertical="center" wrapText="1"/>
      <protection hidden="1"/>
    </xf>
    <xf numFmtId="0" fontId="44" fillId="0" borderId="44" xfId="0" applyFont="1" applyBorder="1" applyAlignment="1" applyProtection="1">
      <alignment horizontal="left"/>
      <protection hidden="1"/>
    </xf>
    <xf numFmtId="0" fontId="8" fillId="0" borderId="17" xfId="0" applyFont="1" applyBorder="1" applyAlignment="1" applyProtection="1">
      <alignment horizontal="left" vertical="center"/>
      <protection hidden="1"/>
    </xf>
    <xf numFmtId="0" fontId="8" fillId="0" borderId="18" xfId="0" applyFont="1" applyBorder="1" applyAlignment="1" applyProtection="1">
      <alignment horizontal="left" vertical="center"/>
      <protection hidden="1"/>
    </xf>
    <xf numFmtId="0" fontId="8" fillId="0" borderId="46" xfId="0" applyFont="1" applyBorder="1" applyAlignment="1" applyProtection="1">
      <alignment horizontal="center" vertical="center" wrapText="1"/>
      <protection hidden="1"/>
    </xf>
    <xf numFmtId="166" fontId="45" fillId="0" borderId="17" xfId="0" applyNumberFormat="1" applyFont="1" applyBorder="1" applyAlignment="1" applyProtection="1">
      <alignment horizontal="center" vertical="center"/>
      <protection locked="0"/>
    </xf>
    <xf numFmtId="166" fontId="45" fillId="0" borderId="18" xfId="0" applyNumberFormat="1" applyFont="1" applyBorder="1" applyAlignment="1" applyProtection="1">
      <alignment horizontal="center" vertical="center"/>
      <protection locked="0"/>
    </xf>
    <xf numFmtId="0" fontId="37" fillId="0" borderId="0" xfId="0" applyFont="1" applyAlignment="1" applyProtection="1">
      <alignment horizontal="justify" vertical="top" wrapText="1"/>
      <protection hidden="1"/>
    </xf>
    <xf numFmtId="0" fontId="3" fillId="0" borderId="0" xfId="0" applyFont="1" applyAlignment="1" applyProtection="1">
      <alignment horizontal="justify" vertical="top" wrapText="1"/>
      <protection hidden="1"/>
    </xf>
    <xf numFmtId="0" fontId="38" fillId="0" borderId="0" xfId="0" applyFont="1" applyAlignment="1" applyProtection="1">
      <alignment horizontal="left" vertical="top" wrapText="1"/>
      <protection hidden="1"/>
    </xf>
    <xf numFmtId="0" fontId="19" fillId="0" borderId="70" xfId="0" applyFont="1" applyBorder="1" applyAlignment="1" applyProtection="1">
      <alignment horizontal="left" vertical="center" indent="1"/>
      <protection hidden="1"/>
    </xf>
    <xf numFmtId="0" fontId="19" fillId="0" borderId="71" xfId="0" applyFont="1" applyBorder="1" applyAlignment="1" applyProtection="1">
      <alignment horizontal="left" vertical="center" indent="1"/>
      <protection hidden="1"/>
    </xf>
    <xf numFmtId="0" fontId="19" fillId="0" borderId="72" xfId="0" applyFont="1" applyBorder="1" applyAlignment="1" applyProtection="1">
      <alignment horizontal="left" vertical="center" indent="1"/>
      <protection hidden="1"/>
    </xf>
    <xf numFmtId="0" fontId="3" fillId="0" borderId="20" xfId="0" applyFont="1" applyBorder="1" applyAlignment="1" applyProtection="1">
      <alignment horizontal="center" vertical="center" wrapText="1"/>
      <protection hidden="1"/>
    </xf>
    <xf numFmtId="0" fontId="44" fillId="0" borderId="20" xfId="0" applyFont="1" applyBorder="1" applyAlignment="1" applyProtection="1">
      <alignment horizontal="center" vertical="center" wrapText="1"/>
      <protection locked="0"/>
    </xf>
    <xf numFmtId="0" fontId="3" fillId="2" borderId="48" xfId="0" applyFont="1" applyFill="1" applyBorder="1" applyAlignment="1" applyProtection="1">
      <alignment horizontal="justify" vertical="center" wrapText="1"/>
      <protection hidden="1"/>
    </xf>
    <xf numFmtId="0" fontId="3" fillId="2" borderId="49" xfId="0" applyFont="1" applyFill="1" applyBorder="1" applyAlignment="1" applyProtection="1">
      <alignment horizontal="justify" vertical="center" wrapText="1"/>
      <protection hidden="1"/>
    </xf>
    <xf numFmtId="0" fontId="3" fillId="2" borderId="50" xfId="0" applyFont="1" applyFill="1" applyBorder="1" applyAlignment="1" applyProtection="1">
      <alignment horizontal="justify" vertical="center" wrapText="1"/>
      <protection hidden="1"/>
    </xf>
    <xf numFmtId="0" fontId="10" fillId="6" borderId="48" xfId="0" applyFont="1" applyFill="1" applyBorder="1" applyAlignment="1" applyProtection="1">
      <alignment horizontal="left"/>
      <protection hidden="1"/>
    </xf>
    <xf numFmtId="0" fontId="10" fillId="6" borderId="49" xfId="0" applyFont="1" applyFill="1" applyBorder="1" applyAlignment="1" applyProtection="1">
      <alignment horizontal="left"/>
      <protection hidden="1"/>
    </xf>
    <xf numFmtId="0" fontId="10" fillId="6" borderId="50" xfId="0" applyFont="1" applyFill="1" applyBorder="1" applyAlignment="1" applyProtection="1">
      <alignment horizontal="left"/>
      <protection hidden="1"/>
    </xf>
    <xf numFmtId="0" fontId="33" fillId="0" borderId="38" xfId="0" applyFont="1" applyBorder="1" applyAlignment="1" applyProtection="1">
      <alignment horizontal="left" vertical="center" wrapText="1"/>
      <protection hidden="1"/>
    </xf>
    <xf numFmtId="0" fontId="33" fillId="0" borderId="39" xfId="0" applyFont="1" applyBorder="1" applyAlignment="1" applyProtection="1">
      <alignment horizontal="left" vertical="center" wrapText="1"/>
      <protection hidden="1"/>
    </xf>
    <xf numFmtId="0" fontId="33" fillId="0" borderId="40" xfId="0" applyFont="1" applyBorder="1" applyAlignment="1" applyProtection="1">
      <alignment horizontal="left" vertical="center" wrapText="1"/>
      <protection hidden="1"/>
    </xf>
    <xf numFmtId="3" fontId="33" fillId="2" borderId="31" xfId="0" applyNumberFormat="1" applyFont="1" applyFill="1" applyBorder="1" applyAlignment="1" applyProtection="1">
      <alignment horizontal="right" vertical="center" wrapText="1"/>
      <protection hidden="1"/>
    </xf>
    <xf numFmtId="3" fontId="33" fillId="2" borderId="32" xfId="0" applyNumberFormat="1" applyFont="1" applyFill="1" applyBorder="1" applyAlignment="1" applyProtection="1">
      <alignment horizontal="right" vertical="center" wrapText="1"/>
      <protection hidden="1"/>
    </xf>
    <xf numFmtId="0" fontId="33" fillId="0" borderId="35" xfId="0" applyFont="1" applyBorder="1" applyAlignment="1" applyProtection="1">
      <alignment horizontal="left" vertical="center" wrapText="1"/>
      <protection hidden="1"/>
    </xf>
    <xf numFmtId="0" fontId="33" fillId="0" borderId="36" xfId="0" applyFont="1" applyBorder="1" applyAlignment="1" applyProtection="1">
      <alignment horizontal="left" vertical="center" wrapText="1"/>
      <protection hidden="1"/>
    </xf>
    <xf numFmtId="0" fontId="33" fillId="0" borderId="37" xfId="0" applyFont="1" applyBorder="1" applyAlignment="1" applyProtection="1">
      <alignment horizontal="left" vertical="center" wrapText="1"/>
      <protection hidden="1"/>
    </xf>
    <xf numFmtId="3" fontId="33" fillId="2" borderId="24" xfId="0" applyNumberFormat="1" applyFont="1" applyFill="1" applyBorder="1" applyAlignment="1" applyProtection="1">
      <alignment horizontal="right" vertical="center" wrapText="1"/>
      <protection hidden="1"/>
    </xf>
    <xf numFmtId="0" fontId="33" fillId="2" borderId="25" xfId="0" applyFont="1" applyFill="1" applyBorder="1" applyAlignment="1" applyProtection="1">
      <alignment horizontal="right" vertical="center" wrapText="1"/>
      <protection hidden="1"/>
    </xf>
    <xf numFmtId="0" fontId="3" fillId="3" borderId="48" xfId="0" applyFont="1" applyFill="1" applyBorder="1" applyAlignment="1" applyProtection="1">
      <alignment horizontal="left" vertical="center" wrapText="1"/>
      <protection hidden="1"/>
    </xf>
    <xf numFmtId="0" fontId="3" fillId="3" borderId="49" xfId="0" applyFont="1" applyFill="1" applyBorder="1" applyAlignment="1" applyProtection="1">
      <alignment horizontal="left" vertical="center" wrapText="1"/>
      <protection hidden="1"/>
    </xf>
    <xf numFmtId="0" fontId="3" fillId="3" borderId="50" xfId="0" applyFont="1" applyFill="1" applyBorder="1" applyAlignment="1" applyProtection="1">
      <alignment horizontal="left" vertical="center" wrapText="1"/>
      <protection hidden="1"/>
    </xf>
    <xf numFmtId="0" fontId="3" fillId="2" borderId="1" xfId="0" applyFont="1" applyFill="1" applyBorder="1" applyAlignment="1" applyProtection="1">
      <alignment horizontal="left" vertical="center" wrapText="1"/>
      <protection hidden="1"/>
    </xf>
    <xf numFmtId="0" fontId="3" fillId="2" borderId="41" xfId="0" applyFont="1" applyFill="1" applyBorder="1" applyAlignment="1" applyProtection="1">
      <alignment horizontal="left" vertical="center" wrapText="1"/>
      <protection hidden="1"/>
    </xf>
    <xf numFmtId="0" fontId="3" fillId="2" borderId="2" xfId="0" applyFont="1" applyFill="1" applyBorder="1" applyAlignment="1" applyProtection="1">
      <alignment horizontal="left" vertical="center" wrapText="1"/>
      <protection hidden="1"/>
    </xf>
    <xf numFmtId="0" fontId="3" fillId="0" borderId="33" xfId="0" applyFont="1" applyBorder="1" applyAlignment="1" applyProtection="1">
      <alignment horizontal="left" vertical="center" wrapText="1"/>
      <protection hidden="1"/>
    </xf>
    <xf numFmtId="0" fontId="3" fillId="0" borderId="64" xfId="0" applyFont="1" applyBorder="1" applyAlignment="1" applyProtection="1">
      <alignment horizontal="left" vertical="center" wrapText="1"/>
      <protection hidden="1"/>
    </xf>
    <xf numFmtId="0" fontId="3" fillId="0" borderId="34" xfId="0" applyFont="1" applyBorder="1" applyAlignment="1" applyProtection="1">
      <alignment horizontal="left" vertical="center" wrapText="1"/>
      <protection hidden="1"/>
    </xf>
    <xf numFmtId="0" fontId="47" fillId="0" borderId="48" xfId="0" applyFont="1" applyBorder="1" applyAlignment="1" applyProtection="1">
      <alignment vertical="top" wrapText="1"/>
      <protection locked="0"/>
    </xf>
    <xf numFmtId="0" fontId="47" fillId="0" borderId="49" xfId="0" applyFont="1" applyBorder="1" applyAlignment="1" applyProtection="1">
      <alignment vertical="top" wrapText="1"/>
      <protection locked="0"/>
    </xf>
    <xf numFmtId="0" fontId="47" fillId="0" borderId="50" xfId="0" applyFont="1" applyBorder="1" applyAlignment="1" applyProtection="1">
      <alignment vertical="top" wrapText="1"/>
      <protection locked="0"/>
    </xf>
    <xf numFmtId="0" fontId="3" fillId="2" borderId="65" xfId="0" applyFont="1" applyFill="1" applyBorder="1" applyAlignment="1" applyProtection="1">
      <alignment horizontal="left" vertical="center" wrapText="1"/>
      <protection hidden="1"/>
    </xf>
    <xf numFmtId="14" fontId="44" fillId="0" borderId="44" xfId="0" applyNumberFormat="1" applyFont="1" applyBorder="1" applyAlignment="1" applyProtection="1">
      <alignment horizontal="left"/>
      <protection hidden="1"/>
    </xf>
    <xf numFmtId="0" fontId="8" fillId="0" borderId="72" xfId="0" applyFont="1" applyBorder="1" applyAlignment="1" applyProtection="1">
      <alignment horizontal="left" vertical="center" indent="1"/>
      <protection hidden="1"/>
    </xf>
    <xf numFmtId="0" fontId="2" fillId="2" borderId="19" xfId="0" applyFont="1" applyFill="1" applyBorder="1" applyAlignment="1" applyProtection="1">
      <alignment horizontal="left" vertical="center" wrapText="1"/>
      <protection hidden="1"/>
    </xf>
    <xf numFmtId="0" fontId="1" fillId="0" borderId="19" xfId="0" applyFont="1" applyBorder="1" applyAlignment="1" applyProtection="1">
      <alignment horizontal="left"/>
      <protection hidden="1"/>
    </xf>
    <xf numFmtId="3" fontId="8" fillId="0" borderId="24" xfId="3" applyNumberFormat="1" applyFont="1" applyFill="1" applyBorder="1" applyAlignment="1" applyProtection="1">
      <alignment horizontal="right" vertical="center" shrinkToFit="1"/>
      <protection hidden="1"/>
    </xf>
    <xf numFmtId="3" fontId="8" fillId="0" borderId="19" xfId="3" applyNumberFormat="1" applyFont="1" applyFill="1" applyBorder="1" applyAlignment="1" applyProtection="1">
      <alignment horizontal="right" vertical="center" shrinkToFit="1"/>
      <protection hidden="1"/>
    </xf>
    <xf numFmtId="0" fontId="20" fillId="0" borderId="0" xfId="0" applyFont="1" applyAlignment="1" applyProtection="1">
      <alignment horizontal="right" vertical="center"/>
      <protection hidden="1"/>
    </xf>
    <xf numFmtId="0" fontId="1" fillId="2" borderId="19" xfId="0" applyFont="1" applyFill="1" applyBorder="1" applyAlignment="1" applyProtection="1">
      <alignment horizontal="left" vertical="center" wrapText="1"/>
      <protection hidden="1"/>
    </xf>
  </cellXfs>
  <cellStyles count="5">
    <cellStyle name="Ezres 2" xfId="4" xr:uid="{00000000-0005-0000-0000-000000000000}"/>
    <cellStyle name="Normál" xfId="0" builtinId="0"/>
    <cellStyle name="Normál 2" xfId="1" xr:uid="{00000000-0005-0000-0000-000002000000}"/>
    <cellStyle name="Normál 3" xfId="2" xr:uid="{00000000-0005-0000-0000-000003000000}"/>
    <cellStyle name="Pénznem" xfId="3" builtinId="4"/>
  </cellStyles>
  <dxfs count="75">
    <dxf>
      <fill>
        <patternFill>
          <bgColor theme="3" tint="0.79998168889431442"/>
        </patternFill>
      </fill>
    </dxf>
    <dxf>
      <fill>
        <patternFill>
          <bgColor theme="3" tint="0.79998168889431442"/>
        </patternFill>
      </fill>
    </dxf>
    <dxf>
      <fill>
        <patternFill>
          <bgColor theme="3" tint="0.79998168889431442"/>
        </patternFill>
      </fill>
    </dxf>
    <dxf>
      <fill>
        <patternFill patternType="gray0625">
          <bgColor theme="0"/>
        </patternFill>
      </fill>
    </dxf>
    <dxf>
      <fill>
        <patternFill patternType="gray0625">
          <fgColor auto="1"/>
          <bgColor theme="0"/>
        </patternFill>
      </fill>
    </dxf>
    <dxf>
      <fill>
        <patternFill patternType="gray0625">
          <bgColor theme="0"/>
        </patternFill>
      </fill>
    </dxf>
    <dxf>
      <fill>
        <patternFill>
          <bgColor theme="3" tint="0.79998168889431442"/>
        </patternFill>
      </fill>
    </dxf>
    <dxf>
      <fill>
        <patternFill patternType="gray0625">
          <bgColor theme="0"/>
        </patternFill>
      </fill>
    </dxf>
    <dxf>
      <fill>
        <patternFill>
          <bgColor theme="3" tint="0.79998168889431442"/>
        </patternFill>
      </fill>
    </dxf>
    <dxf>
      <fill>
        <patternFill>
          <bgColor theme="3" tint="0.79998168889431442"/>
        </patternFill>
      </fill>
    </dxf>
    <dxf>
      <font>
        <color theme="0"/>
      </font>
      <fill>
        <patternFill>
          <bgColor theme="3"/>
        </patternFill>
      </fill>
    </dxf>
    <dxf>
      <fill>
        <patternFill>
          <bgColor theme="3" tint="0.79998168889431442"/>
        </patternFill>
      </fill>
    </dxf>
    <dxf>
      <fill>
        <patternFill>
          <bgColor theme="3" tint="0.79998168889431442"/>
        </patternFill>
      </fill>
    </dxf>
    <dxf>
      <fill>
        <patternFill patternType="gray0625">
          <bgColor theme="0"/>
        </patternFill>
      </fill>
    </dxf>
    <dxf>
      <fill>
        <patternFill>
          <bgColor theme="3" tint="0.79998168889431442"/>
        </patternFill>
      </fill>
    </dxf>
    <dxf>
      <fill>
        <patternFill patternType="gray0625">
          <bgColor theme="0"/>
        </patternFill>
      </fill>
    </dxf>
    <dxf>
      <fill>
        <patternFill patternType="gray0625">
          <fgColor auto="1"/>
          <bgColor theme="0"/>
        </patternFill>
      </fill>
    </dxf>
    <dxf>
      <fill>
        <patternFill patternType="gray0625">
          <bgColor theme="0"/>
        </patternFill>
      </fill>
    </dxf>
    <dxf>
      <fill>
        <patternFill>
          <bgColor theme="3" tint="0.79998168889431442"/>
        </patternFill>
      </fill>
    </dxf>
    <dxf>
      <fill>
        <patternFill patternType="gray0625">
          <bgColor theme="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color theme="0"/>
      </font>
      <fill>
        <patternFill>
          <bgColor theme="3"/>
        </patternFill>
      </fill>
    </dxf>
    <dxf>
      <fill>
        <patternFill>
          <bgColor theme="3" tint="0.79998168889431442"/>
        </patternFill>
      </fill>
    </dxf>
    <dxf>
      <fill>
        <patternFill>
          <bgColor theme="3" tint="0.79998168889431442"/>
        </patternFill>
      </fill>
    </dxf>
    <dxf>
      <fill>
        <patternFill patternType="gray0625">
          <bgColor theme="0"/>
        </patternFill>
      </fill>
    </dxf>
    <dxf>
      <fill>
        <patternFill>
          <bgColor theme="3" tint="0.79998168889431442"/>
        </patternFill>
      </fill>
    </dxf>
    <dxf>
      <fill>
        <patternFill patternType="gray0625">
          <bgColor theme="0"/>
        </patternFill>
      </fill>
    </dxf>
    <dxf>
      <fill>
        <patternFill patternType="gray0625">
          <fgColor auto="1"/>
          <bgColor theme="0"/>
        </patternFill>
      </fill>
    </dxf>
    <dxf>
      <fill>
        <patternFill patternType="gray0625">
          <bgColor theme="0"/>
        </patternFill>
      </fill>
    </dxf>
    <dxf>
      <fill>
        <patternFill>
          <bgColor theme="3" tint="0.79998168889431442"/>
        </patternFill>
      </fill>
    </dxf>
    <dxf>
      <fill>
        <patternFill patternType="gray0625">
          <bgColor theme="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color theme="0"/>
      </font>
      <fill>
        <patternFill>
          <bgColor theme="3"/>
        </patternFill>
      </fill>
    </dxf>
    <dxf>
      <fill>
        <patternFill>
          <bgColor theme="3" tint="0.79998168889431442"/>
        </patternFill>
      </fill>
    </dxf>
    <dxf>
      <fill>
        <patternFill>
          <bgColor theme="3" tint="0.79998168889431442"/>
        </patternFill>
      </fill>
    </dxf>
    <dxf>
      <fill>
        <patternFill patternType="gray0625">
          <bgColor theme="0"/>
        </patternFill>
      </fill>
    </dxf>
    <dxf>
      <fill>
        <patternFill>
          <bgColor theme="3" tint="0.79998168889431442"/>
        </patternFill>
      </fill>
    </dxf>
    <dxf>
      <fill>
        <patternFill patternType="gray0625">
          <bgColor theme="0"/>
        </patternFill>
      </fill>
    </dxf>
    <dxf>
      <fill>
        <patternFill patternType="gray0625">
          <fgColor auto="1"/>
          <bgColor theme="0"/>
        </patternFill>
      </fill>
    </dxf>
    <dxf>
      <fill>
        <patternFill patternType="gray0625">
          <bgColor theme="0"/>
        </patternFill>
      </fill>
    </dxf>
    <dxf>
      <fill>
        <patternFill>
          <bgColor theme="3" tint="0.79998168889431442"/>
        </patternFill>
      </fill>
    </dxf>
    <dxf>
      <fill>
        <patternFill patternType="gray0625">
          <bgColor theme="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color theme="0"/>
      </font>
      <fill>
        <patternFill>
          <bgColor theme="3"/>
        </patternFill>
      </fill>
    </dxf>
    <dxf>
      <fill>
        <patternFill>
          <bgColor theme="3" tint="0.79998168889431442"/>
        </patternFill>
      </fill>
    </dxf>
    <dxf>
      <fill>
        <patternFill>
          <bgColor theme="3" tint="0.79998168889431442"/>
        </patternFill>
      </fill>
    </dxf>
    <dxf>
      <fill>
        <patternFill patternType="gray0625">
          <bgColor theme="0"/>
        </patternFill>
      </fill>
    </dxf>
    <dxf>
      <fill>
        <patternFill>
          <bgColor theme="3" tint="0.79998168889431442"/>
        </patternFill>
      </fill>
    </dxf>
    <dxf>
      <fill>
        <patternFill patternType="gray0625">
          <bgColor theme="0"/>
        </patternFill>
      </fill>
    </dxf>
    <dxf>
      <fill>
        <patternFill patternType="gray0625">
          <fgColor auto="1"/>
          <bgColor theme="0"/>
        </patternFill>
      </fill>
    </dxf>
    <dxf>
      <fill>
        <patternFill patternType="gray0625">
          <bgColor theme="0"/>
        </patternFill>
      </fill>
    </dxf>
    <dxf>
      <fill>
        <patternFill>
          <bgColor theme="3" tint="0.79998168889431442"/>
        </patternFill>
      </fill>
    </dxf>
    <dxf>
      <fill>
        <patternFill patternType="gray0625">
          <bgColor theme="0"/>
        </patternFill>
      </fill>
    </dxf>
    <dxf>
      <fill>
        <patternFill>
          <bgColor theme="3" tint="0.79998168889431442"/>
        </patternFill>
      </fill>
    </dxf>
    <dxf>
      <fill>
        <patternFill>
          <bgColor theme="3" tint="0.79998168889431442"/>
        </patternFill>
      </fill>
    </dxf>
    <dxf>
      <fill>
        <patternFill>
          <bgColor theme="3" tint="0.79998168889431442"/>
        </patternFill>
      </fill>
    </dxf>
    <dxf>
      <font>
        <color theme="0"/>
      </font>
      <fill>
        <patternFill>
          <bgColor theme="3"/>
        </patternFill>
      </fill>
    </dxf>
    <dxf>
      <font>
        <b/>
        <i val="0"/>
        <color theme="0"/>
      </font>
      <fill>
        <patternFill>
          <bgColor theme="3"/>
        </patternFill>
      </fill>
    </dxf>
    <dxf>
      <font>
        <color theme="0"/>
      </font>
      <numFmt numFmtId="3" formatCode="#,##0"/>
      <fill>
        <patternFill>
          <bgColor theme="3"/>
        </patternFill>
      </fill>
    </dxf>
    <dxf>
      <font>
        <color theme="0"/>
      </font>
      <fill>
        <patternFill>
          <bgColor theme="3"/>
        </patternFill>
      </fill>
    </dxf>
    <dxf>
      <fill>
        <patternFill>
          <bgColor theme="3" tint="0.79998168889431442"/>
        </patternFill>
      </fill>
    </dxf>
    <dxf>
      <font>
        <color theme="0"/>
      </font>
      <fill>
        <patternFill>
          <bgColor theme="3"/>
        </patternFill>
      </fill>
    </dxf>
    <dxf>
      <font>
        <color theme="0"/>
      </font>
      <fill>
        <patternFill>
          <bgColor theme="3"/>
        </patternFill>
      </fill>
    </dxf>
    <dxf>
      <fill>
        <patternFill>
          <bgColor theme="3" tint="0.79998168889431442"/>
        </patternFill>
      </fill>
    </dxf>
    <dxf>
      <fill>
        <patternFill>
          <bgColor theme="3" tint="0.79998168889431442"/>
        </patternFill>
      </fill>
    </dxf>
    <dxf>
      <fill>
        <patternFill>
          <bgColor theme="3" tint="0.79998168889431442"/>
        </patternFill>
      </fill>
    </dxf>
  </dxfs>
  <tableStyles count="0" defaultTableStyle="TableStyleMedium2" defaultPivotStyle="PivotStyleLight16"/>
  <colors>
    <mruColors>
      <color rgb="FFF8EDE8"/>
      <color rgb="FFFAF0E6"/>
      <color rgb="FF808080"/>
      <color rgb="FFFFC7CE"/>
      <color rgb="FF9C0006"/>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121118</xdr:colOff>
      <xdr:row>0</xdr:row>
      <xdr:rowOff>193431</xdr:rowOff>
    </xdr:from>
    <xdr:to>
      <xdr:col>3</xdr:col>
      <xdr:colOff>753207</xdr:colOff>
      <xdr:row>1</xdr:row>
      <xdr:rowOff>166787</xdr:rowOff>
    </xdr:to>
    <xdr:pic>
      <xdr:nvPicPr>
        <xdr:cNvPr id="2" name="Ábra 3">
          <a:extLst>
            <a:ext uri="{FF2B5EF4-FFF2-40B4-BE49-F238E27FC236}">
              <a16:creationId xmlns:a16="http://schemas.microsoft.com/office/drawing/2014/main" id="{0AAE2D54-9018-4EFD-A027-8B3E940EC5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607268" y="193431"/>
          <a:ext cx="632089" cy="544856"/>
        </a:xfrm>
        <a:prstGeom prst="rect">
          <a:avLst/>
        </a:prstGeom>
      </xdr:spPr>
    </xdr:pic>
    <xdr:clientData/>
  </xdr:twoCellAnchor>
  <xdr:twoCellAnchor editAs="oneCell">
    <xdr:from>
      <xdr:col>0</xdr:col>
      <xdr:colOff>0</xdr:colOff>
      <xdr:row>0</xdr:row>
      <xdr:rowOff>0</xdr:rowOff>
    </xdr:from>
    <xdr:to>
      <xdr:col>2</xdr:col>
      <xdr:colOff>1899749</xdr:colOff>
      <xdr:row>2</xdr:row>
      <xdr:rowOff>135843</xdr:rowOff>
    </xdr:to>
    <xdr:pic>
      <xdr:nvPicPr>
        <xdr:cNvPr id="3" name="Kép 2">
          <a:extLst>
            <a:ext uri="{FF2B5EF4-FFF2-40B4-BE49-F238E27FC236}">
              <a16:creationId xmlns:a16="http://schemas.microsoft.com/office/drawing/2014/main" id="{BB5C7F16-A946-445C-A501-90EF58D7F4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3397372" cy="8905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1916114</xdr:colOff>
      <xdr:row>0</xdr:row>
      <xdr:rowOff>175450</xdr:rowOff>
    </xdr:from>
    <xdr:to>
      <xdr:col>3</xdr:col>
      <xdr:colOff>372063</xdr:colOff>
      <xdr:row>1</xdr:row>
      <xdr:rowOff>151606</xdr:rowOff>
    </xdr:to>
    <xdr:pic>
      <xdr:nvPicPr>
        <xdr:cNvPr id="2" name="Ábra 3">
          <a:extLst>
            <a:ext uri="{FF2B5EF4-FFF2-40B4-BE49-F238E27FC236}">
              <a16:creationId xmlns:a16="http://schemas.microsoft.com/office/drawing/2014/main" id="{47676B0B-57E5-4CEE-8F8B-A80BB92CA3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894139" y="178625"/>
          <a:ext cx="677179" cy="554006"/>
        </a:xfrm>
        <a:prstGeom prst="rect">
          <a:avLst/>
        </a:prstGeom>
      </xdr:spPr>
    </xdr:pic>
    <xdr:clientData/>
  </xdr:twoCellAnchor>
  <xdr:twoCellAnchor editAs="oneCell">
    <xdr:from>
      <xdr:col>1</xdr:col>
      <xdr:colOff>0</xdr:colOff>
      <xdr:row>0</xdr:row>
      <xdr:rowOff>0</xdr:rowOff>
    </xdr:from>
    <xdr:to>
      <xdr:col>2</xdr:col>
      <xdr:colOff>1598612</xdr:colOff>
      <xdr:row>2</xdr:row>
      <xdr:rowOff>143414</xdr:rowOff>
    </xdr:to>
    <xdr:pic>
      <xdr:nvPicPr>
        <xdr:cNvPr id="3" name="Kép 2">
          <a:extLst>
            <a:ext uri="{FF2B5EF4-FFF2-40B4-BE49-F238E27FC236}">
              <a16:creationId xmlns:a16="http://schemas.microsoft.com/office/drawing/2014/main" id="{E57ED31B-215F-4ED2-AD9C-578FEAC05AE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5250" y="0"/>
          <a:ext cx="3484562" cy="904144"/>
        </a:xfrm>
        <a:prstGeom prst="rect">
          <a:avLst/>
        </a:prstGeom>
      </xdr:spPr>
    </xdr:pic>
    <xdr:clientData/>
  </xdr:twoCellAnchor>
</xdr:wsDr>
</file>

<file path=xl/theme/theme1.xml><?xml version="1.0" encoding="utf-8"?>
<a:theme xmlns:a="http://schemas.openxmlformats.org/drawingml/2006/main" name="Office-téma">
  <a:themeElements>
    <a:clrScheme name="MFB_Palette">
      <a:dk1>
        <a:sysClr val="windowText" lastClr="000000"/>
      </a:dk1>
      <a:lt1>
        <a:sysClr val="window" lastClr="FFFFFF"/>
      </a:lt1>
      <a:dk2>
        <a:srgbClr val="D95A27"/>
      </a:dk2>
      <a:lt2>
        <a:srgbClr val="C7C8C9"/>
      </a:lt2>
      <a:accent1>
        <a:srgbClr val="004564"/>
      </a:accent1>
      <a:accent2>
        <a:srgbClr val="A3A4A6"/>
      </a:accent2>
      <a:accent3>
        <a:srgbClr val="00BCB5"/>
      </a:accent3>
      <a:accent4>
        <a:srgbClr val="1F6972"/>
      </a:accent4>
      <a:accent5>
        <a:srgbClr val="EAE5C3"/>
      </a:accent5>
      <a:accent6>
        <a:srgbClr val="003046"/>
      </a:accent6>
      <a:hlink>
        <a:srgbClr val="D95A27"/>
      </a:hlink>
      <a:folHlink>
        <a:srgbClr val="00BCB5"/>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499984740745262"/>
  </sheetPr>
  <dimension ref="A1:B43"/>
  <sheetViews>
    <sheetView showGridLines="0" zoomScale="115" zoomScaleNormal="115" workbookViewId="0">
      <selection activeCell="B6" sqref="B6"/>
    </sheetView>
  </sheetViews>
  <sheetFormatPr defaultColWidth="9.1796875" defaultRowHeight="13" x14ac:dyDescent="0.3"/>
  <cols>
    <col min="1" max="1" width="28" style="4" customWidth="1"/>
    <col min="2" max="2" width="71.453125" style="4" customWidth="1"/>
    <col min="3" max="3" width="33" style="3" customWidth="1"/>
    <col min="4" max="16384" width="9.1796875" style="3"/>
  </cols>
  <sheetData>
    <row r="1" spans="1:2" ht="21" x14ac:dyDescent="0.3">
      <c r="A1" s="186" t="s">
        <v>227</v>
      </c>
      <c r="B1" s="186"/>
    </row>
    <row r="2" spans="1:2" x14ac:dyDescent="0.3">
      <c r="A2" s="187" t="s">
        <v>15</v>
      </c>
      <c r="B2" s="187"/>
    </row>
    <row r="3" spans="1:2" x14ac:dyDescent="0.3">
      <c r="A3" s="32" t="s">
        <v>14</v>
      </c>
      <c r="B3" s="1" t="s">
        <v>255</v>
      </c>
    </row>
    <row r="4" spans="1:2" ht="94" customHeight="1" x14ac:dyDescent="0.3">
      <c r="A4" s="188" t="s">
        <v>151</v>
      </c>
      <c r="B4" s="189"/>
    </row>
    <row r="5" spans="1:2" s="104" customFormat="1" ht="26.15" customHeight="1" x14ac:dyDescent="0.3">
      <c r="A5" s="127"/>
      <c r="B5" s="128" t="s">
        <v>197</v>
      </c>
    </row>
    <row r="6" spans="1:2" s="104" customFormat="1" ht="54.65" customHeight="1" x14ac:dyDescent="0.3">
      <c r="A6" s="126"/>
      <c r="B6" s="129" t="s">
        <v>218</v>
      </c>
    </row>
    <row r="7" spans="1:2" s="104" customFormat="1" ht="28.5" customHeight="1" thickBot="1" x14ac:dyDescent="0.35">
      <c r="A7" s="197" t="s">
        <v>254</v>
      </c>
      <c r="B7" s="198"/>
    </row>
    <row r="8" spans="1:2" ht="18.5" x14ac:dyDescent="0.3">
      <c r="A8" s="181" t="s">
        <v>113</v>
      </c>
      <c r="B8" s="182"/>
    </row>
    <row r="9" spans="1:2" s="104" customFormat="1" ht="25" customHeight="1" x14ac:dyDescent="0.3">
      <c r="A9" s="194" t="s">
        <v>193</v>
      </c>
      <c r="B9" s="195"/>
    </row>
    <row r="10" spans="1:2" x14ac:dyDescent="0.3">
      <c r="A10" s="190" t="s">
        <v>21</v>
      </c>
      <c r="B10" s="191"/>
    </row>
    <row r="11" spans="1:2" s="104" customFormat="1" x14ac:dyDescent="0.3">
      <c r="A11" s="102" t="s">
        <v>191</v>
      </c>
      <c r="B11" s="103" t="s">
        <v>8</v>
      </c>
    </row>
    <row r="12" spans="1:2" s="104" customFormat="1" ht="39" x14ac:dyDescent="0.3">
      <c r="A12" s="102" t="s">
        <v>219</v>
      </c>
      <c r="B12" s="105" t="s">
        <v>132</v>
      </c>
    </row>
    <row r="13" spans="1:2" s="104" customFormat="1" ht="39" x14ac:dyDescent="0.3">
      <c r="A13" s="106" t="s">
        <v>133</v>
      </c>
      <c r="B13" s="107" t="s">
        <v>134</v>
      </c>
    </row>
    <row r="14" spans="1:2" x14ac:dyDescent="0.3">
      <c r="A14" s="192" t="s">
        <v>22</v>
      </c>
      <c r="B14" s="193"/>
    </row>
    <row r="15" spans="1:2" s="104" customFormat="1" ht="65" x14ac:dyDescent="0.3">
      <c r="A15" s="143" t="s">
        <v>192</v>
      </c>
      <c r="B15" s="174" t="s">
        <v>241</v>
      </c>
    </row>
    <row r="16" spans="1:2" s="104" customFormat="1" ht="77.25" customHeight="1" x14ac:dyDescent="0.3">
      <c r="A16" s="196" t="s">
        <v>135</v>
      </c>
      <c r="B16" s="167" t="s">
        <v>203</v>
      </c>
    </row>
    <row r="17" spans="1:2" s="104" customFormat="1" ht="111" customHeight="1" x14ac:dyDescent="0.3">
      <c r="A17" s="196"/>
      <c r="B17" s="167" t="s">
        <v>220</v>
      </c>
    </row>
    <row r="18" spans="1:2" s="104" customFormat="1" ht="130" x14ac:dyDescent="0.3">
      <c r="A18" s="196"/>
      <c r="B18" s="167" t="s">
        <v>253</v>
      </c>
    </row>
    <row r="19" spans="1:2" x14ac:dyDescent="0.3">
      <c r="A19" s="184" t="s">
        <v>194</v>
      </c>
      <c r="B19" s="185"/>
    </row>
    <row r="20" spans="1:2" s="104" customFormat="1" ht="26" x14ac:dyDescent="0.3">
      <c r="A20" s="108" t="s">
        <v>136</v>
      </c>
      <c r="B20" s="111" t="s">
        <v>200</v>
      </c>
    </row>
    <row r="21" spans="1:2" s="104" customFormat="1" ht="39.5" thickBot="1" x14ac:dyDescent="0.35">
      <c r="A21" s="108" t="s">
        <v>137</v>
      </c>
      <c r="B21" s="111" t="s">
        <v>204</v>
      </c>
    </row>
    <row r="22" spans="1:2" ht="18.5" x14ac:dyDescent="0.3">
      <c r="A22" s="181" t="s">
        <v>138</v>
      </c>
      <c r="B22" s="182"/>
    </row>
    <row r="23" spans="1:2" s="104" customFormat="1" ht="86.15" customHeight="1" x14ac:dyDescent="0.3">
      <c r="A23" s="183" t="s">
        <v>221</v>
      </c>
      <c r="B23" s="183"/>
    </row>
    <row r="24" spans="1:2" s="104" customFormat="1" ht="40.5" customHeight="1" x14ac:dyDescent="0.3">
      <c r="A24" s="108" t="s">
        <v>139</v>
      </c>
      <c r="B24" s="109" t="s">
        <v>195</v>
      </c>
    </row>
    <row r="25" spans="1:2" s="104" customFormat="1" ht="38.15" customHeight="1" x14ac:dyDescent="0.3">
      <c r="A25" s="108" t="s">
        <v>140</v>
      </c>
      <c r="B25" s="109" t="s">
        <v>196</v>
      </c>
    </row>
    <row r="26" spans="1:2" s="104" customFormat="1" ht="31.5" customHeight="1" x14ac:dyDescent="0.3">
      <c r="A26" s="108" t="s">
        <v>141</v>
      </c>
      <c r="B26" s="109" t="s">
        <v>142</v>
      </c>
    </row>
    <row r="27" spans="1:2" s="104" customFormat="1" ht="37" customHeight="1" x14ac:dyDescent="0.3">
      <c r="A27" s="110" t="s">
        <v>143</v>
      </c>
      <c r="B27" s="109" t="s">
        <v>222</v>
      </c>
    </row>
    <row r="28" spans="1:2" s="104" customFormat="1" ht="17.149999999999999" customHeight="1" x14ac:dyDescent="0.3">
      <c r="A28" s="108" t="s">
        <v>137</v>
      </c>
      <c r="B28" s="111" t="s">
        <v>145</v>
      </c>
    </row>
    <row r="29" spans="1:2" x14ac:dyDescent="0.3">
      <c r="A29" s="192" t="s">
        <v>144</v>
      </c>
      <c r="B29" s="193"/>
    </row>
    <row r="30" spans="1:2" s="104" customFormat="1" ht="103" customHeight="1" x14ac:dyDescent="0.3">
      <c r="A30" s="203" t="s">
        <v>223</v>
      </c>
      <c r="B30" s="204"/>
    </row>
    <row r="31" spans="1:2" s="104" customFormat="1" ht="29.15" customHeight="1" x14ac:dyDescent="0.3">
      <c r="A31" s="108" t="s">
        <v>152</v>
      </c>
      <c r="B31" s="109" t="s">
        <v>154</v>
      </c>
    </row>
    <row r="32" spans="1:2" s="104" customFormat="1" ht="39" x14ac:dyDescent="0.3">
      <c r="A32" s="108" t="s">
        <v>39</v>
      </c>
      <c r="B32" s="109" t="s">
        <v>242</v>
      </c>
    </row>
    <row r="33" spans="1:2" s="104" customFormat="1" ht="26" x14ac:dyDescent="0.3">
      <c r="A33" s="108" t="s">
        <v>34</v>
      </c>
      <c r="B33" s="111" t="s">
        <v>243</v>
      </c>
    </row>
    <row r="34" spans="1:2" s="104" customFormat="1" x14ac:dyDescent="0.3">
      <c r="A34" s="108" t="s">
        <v>153</v>
      </c>
      <c r="B34" s="111" t="s">
        <v>244</v>
      </c>
    </row>
    <row r="35" spans="1:2" s="104" customFormat="1" ht="45" customHeight="1" x14ac:dyDescent="0.3">
      <c r="A35" s="110" t="s">
        <v>146</v>
      </c>
      <c r="B35" s="109" t="s">
        <v>224</v>
      </c>
    </row>
    <row r="36" spans="1:2" s="104" customFormat="1" ht="58" customHeight="1" x14ac:dyDescent="0.3">
      <c r="A36" s="110" t="s">
        <v>147</v>
      </c>
      <c r="B36" s="109" t="s">
        <v>198</v>
      </c>
    </row>
    <row r="37" spans="1:2" ht="18.5" x14ac:dyDescent="0.3">
      <c r="A37" s="201" t="s">
        <v>148</v>
      </c>
      <c r="B37" s="202"/>
    </row>
    <row r="38" spans="1:2" s="104" customFormat="1" ht="49.5" customHeight="1" x14ac:dyDescent="0.3">
      <c r="A38" s="183" t="s">
        <v>199</v>
      </c>
      <c r="B38" s="183"/>
    </row>
    <row r="39" spans="1:2" s="104" customFormat="1" ht="42.65" customHeight="1" x14ac:dyDescent="0.3">
      <c r="A39" s="199" t="s">
        <v>225</v>
      </c>
      <c r="B39" s="200"/>
    </row>
    <row r="40" spans="1:2" s="104" customFormat="1" ht="26" x14ac:dyDescent="0.3">
      <c r="A40" s="110" t="s">
        <v>149</v>
      </c>
      <c r="B40" s="109" t="s">
        <v>150</v>
      </c>
    </row>
    <row r="41" spans="1:2" s="104" customFormat="1" x14ac:dyDescent="0.3">
      <c r="A41" s="110" t="s">
        <v>115</v>
      </c>
      <c r="B41" s="109" t="s">
        <v>245</v>
      </c>
    </row>
    <row r="42" spans="1:2" s="104" customFormat="1" ht="106.5" customHeight="1" x14ac:dyDescent="0.3">
      <c r="A42" s="110" t="s">
        <v>226</v>
      </c>
      <c r="B42" s="109" t="s">
        <v>246</v>
      </c>
    </row>
    <row r="43" spans="1:2" s="104" customFormat="1" x14ac:dyDescent="0.3">
      <c r="A43" s="110" t="s">
        <v>114</v>
      </c>
      <c r="B43" s="109" t="s">
        <v>247</v>
      </c>
    </row>
  </sheetData>
  <sheetProtection algorithmName="SHA-512" hashValue="v7PRI82/CcUvxOP7MfLrThL0XkWAM2Wo8UWannZK6O48x0LtduQDnrOrvZqtWiPtmJ16Og9IFDY9dq9d9rcghg==" saltValue="WgTHKcQ9P1269t78Phi7MA==" spinCount="100000" sheet="1" formatColumns="0" formatRows="0" selectLockedCells="1"/>
  <customSheetViews>
    <customSheetView guid="{396A034F-45B2-4D1D-91F6-7C5931F382F0}" scale="110" showGridLines="0" topLeftCell="A104">
      <selection activeCell="C6" sqref="C6"/>
      <pageMargins left="0.70866141732283472" right="0.70866141732283472" top="0.74803149606299213" bottom="0.74803149606299213" header="0.31496062992125984" footer="0.31496062992125984"/>
      <pageSetup paperSize="9" scale="95" orientation="portrait" r:id="rId1"/>
      <headerFooter>
        <oddHeader>&amp;LMFB Zrt.&amp;CRRF-REP-10.13.1-24 OTTHONFELÚJÍTÁSI HITELPROGRAM - &amp;A&amp;R&amp;P. oldal</oddHeader>
      </headerFooter>
    </customSheetView>
  </customSheetViews>
  <mergeCells count="17">
    <mergeCell ref="A39:B39"/>
    <mergeCell ref="A37:B37"/>
    <mergeCell ref="A38:B38"/>
    <mergeCell ref="A29:B29"/>
    <mergeCell ref="A30:B30"/>
    <mergeCell ref="A8:B8"/>
    <mergeCell ref="A23:B23"/>
    <mergeCell ref="A22:B22"/>
    <mergeCell ref="A19:B19"/>
    <mergeCell ref="A1:B1"/>
    <mergeCell ref="A2:B2"/>
    <mergeCell ref="A4:B4"/>
    <mergeCell ref="A10:B10"/>
    <mergeCell ref="A14:B14"/>
    <mergeCell ref="A9:B9"/>
    <mergeCell ref="A16:A18"/>
    <mergeCell ref="A7:B7"/>
  </mergeCells>
  <pageMargins left="0.70866141732283472" right="0.70866141732283472" top="0.74803149606299213" bottom="0.74803149606299213" header="0.31496062992125984" footer="0.31496062992125984"/>
  <pageSetup paperSize="9" scale="85" orientation="portrait" r:id="rId2"/>
  <headerFooter>
    <oddHeader>&amp;LMFB Zrt.&amp;CKEHOP Plusz-4.1.7-24 OTTHONFELÚJÍTÁSI HITELPROGRAM - &amp;A&amp;R&amp;P. oldal</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A1:XFD82"/>
  <sheetViews>
    <sheetView showGridLines="0" zoomScaleNormal="100" zoomScaleSheetLayoutView="96" workbookViewId="0">
      <pane ySplit="11" topLeftCell="A12" activePane="bottomLeft" state="frozenSplit"/>
      <selection pane="bottomLeft" activeCell="E19" sqref="E19"/>
    </sheetView>
  </sheetViews>
  <sheetFormatPr defaultColWidth="0" defaultRowHeight="0" customHeight="1" zeroHeight="1" x14ac:dyDescent="0.35"/>
  <cols>
    <col min="1" max="1" width="1.453125" style="2" customWidth="1"/>
    <col min="2" max="2" width="21" style="2" customWidth="1"/>
    <col min="3" max="3" width="29.81640625" style="2" customWidth="1"/>
    <col min="4" max="4" width="12.81640625" style="2" customWidth="1"/>
    <col min="5" max="8" width="11.54296875" style="2" customWidth="1"/>
    <col min="9" max="13" width="12.453125" style="2" customWidth="1"/>
    <col min="14" max="15" width="11.54296875" style="2" customWidth="1"/>
    <col min="16" max="16" width="9.26953125" style="2" customWidth="1"/>
    <col min="17" max="17" width="8.81640625" style="2" bestFit="1" customWidth="1"/>
    <col min="18" max="18" width="1.7265625" style="2" customWidth="1"/>
    <col min="19" max="19" width="8" style="2" hidden="1" customWidth="1"/>
    <col min="20" max="16383" width="8.81640625" style="2" hidden="1"/>
    <col min="16384" max="16384" width="8.81640625" style="2" hidden="1" customWidth="1"/>
  </cols>
  <sheetData>
    <row r="1" spans="2:19" ht="45.65" customHeight="1" x14ac:dyDescent="0.55000000000000004">
      <c r="G1" s="304" t="s">
        <v>228</v>
      </c>
      <c r="H1" s="304"/>
      <c r="I1" s="304"/>
      <c r="J1" s="304"/>
      <c r="K1" s="304"/>
      <c r="L1" s="304"/>
      <c r="M1" s="304"/>
      <c r="N1" s="304"/>
      <c r="O1" s="146"/>
    </row>
    <row r="2" spans="2:19" ht="14.5" customHeight="1" x14ac:dyDescent="0.35">
      <c r="G2" s="9"/>
      <c r="H2" s="9"/>
      <c r="I2" s="9"/>
      <c r="J2" s="9"/>
      <c r="K2" s="9"/>
      <c r="L2" s="9"/>
      <c r="M2" s="305" t="s">
        <v>112</v>
      </c>
      <c r="N2" s="305"/>
      <c r="O2" s="147"/>
    </row>
    <row r="3" spans="2:19" ht="14.5" customHeight="1" x14ac:dyDescent="0.35">
      <c r="G3" s="9"/>
      <c r="H3" s="9"/>
      <c r="I3" s="9"/>
      <c r="J3" s="9"/>
      <c r="K3" s="9"/>
      <c r="L3" s="9"/>
      <c r="M3" s="42" t="s">
        <v>14</v>
      </c>
      <c r="N3" s="43" t="s">
        <v>256</v>
      </c>
      <c r="O3" s="43"/>
    </row>
    <row r="4" spans="2:19" s="10" customFormat="1" ht="18.75" hidden="1" customHeight="1" x14ac:dyDescent="0.45">
      <c r="B4" s="306" t="s">
        <v>2</v>
      </c>
      <c r="C4" s="306"/>
      <c r="D4" s="306"/>
      <c r="E4" s="306"/>
      <c r="F4" s="306"/>
      <c r="G4" s="306"/>
      <c r="I4" s="244" t="s">
        <v>106</v>
      </c>
      <c r="J4" s="245"/>
      <c r="K4" s="245"/>
      <c r="L4" s="245"/>
      <c r="M4" s="245"/>
      <c r="N4" s="245"/>
      <c r="O4" s="151"/>
      <c r="P4" s="173" t="str">
        <f>IF(OR(ISBLANK(N6),ISBLANK(N7),ISBLANK(N5),ISBLANK(N8)),"Kérjük minden tevékenység vonatkozásában válaszoljon!","")</f>
        <v>Kérjük minden tevékenység vonatkozásában válaszoljon!</v>
      </c>
      <c r="Q4" s="173"/>
    </row>
    <row r="5" spans="2:19" s="12" customFormat="1" ht="17.5" customHeight="1" x14ac:dyDescent="0.35">
      <c r="B5" s="307" t="s">
        <v>6</v>
      </c>
      <c r="C5" s="307"/>
      <c r="D5" s="308"/>
      <c r="E5" s="308"/>
      <c r="F5" s="308"/>
      <c r="G5" s="308"/>
      <c r="H5" s="11"/>
      <c r="I5" s="243" t="s">
        <v>35</v>
      </c>
      <c r="J5" s="243"/>
      <c r="K5" s="243"/>
      <c r="L5" s="243"/>
      <c r="M5" s="243"/>
      <c r="N5" s="34"/>
      <c r="O5" s="310" t="str">
        <f>IF(OR(ISBLANK(N6),ISBLANK(N7),ISBLANK(N5),ISBLANK(N8)),"Kérjük minden tevékenység vonatkozásában válaszoljon!","")</f>
        <v>Kérjük minden tevékenység vonatkozásában válaszoljon!</v>
      </c>
      <c r="P5" s="311"/>
      <c r="Q5" s="311"/>
    </row>
    <row r="6" spans="2:19" s="12" customFormat="1" ht="17.5" customHeight="1" x14ac:dyDescent="0.35">
      <c r="B6" s="307" t="s">
        <v>103</v>
      </c>
      <c r="C6" s="307"/>
      <c r="D6" s="309"/>
      <c r="E6" s="309"/>
      <c r="F6" s="309"/>
      <c r="G6" s="309"/>
      <c r="H6" s="11"/>
      <c r="I6" s="243" t="s">
        <v>39</v>
      </c>
      <c r="J6" s="243"/>
      <c r="K6" s="243"/>
      <c r="L6" s="243"/>
      <c r="M6" s="243"/>
      <c r="N6" s="34"/>
      <c r="O6" s="310"/>
      <c r="P6" s="311"/>
      <c r="Q6" s="311"/>
    </row>
    <row r="7" spans="2:19" s="12" customFormat="1" ht="20.149999999999999" customHeight="1" x14ac:dyDescent="0.35">
      <c r="B7" s="307" t="s">
        <v>104</v>
      </c>
      <c r="C7" s="307"/>
      <c r="D7" s="309"/>
      <c r="E7" s="309"/>
      <c r="F7" s="309"/>
      <c r="G7" s="309"/>
      <c r="H7" s="11"/>
      <c r="I7" s="243" t="s">
        <v>34</v>
      </c>
      <c r="J7" s="243"/>
      <c r="K7" s="243"/>
      <c r="L7" s="243"/>
      <c r="M7" s="243"/>
      <c r="N7" s="34"/>
      <c r="O7" s="312" t="str">
        <f>IF(AND(XFD48&gt;0,AND(XFD44=0,O21=0)),"Külső árnyékolók önállóan nem támogathatók!","")</f>
        <v/>
      </c>
      <c r="P7" s="313"/>
      <c r="Q7" s="313"/>
    </row>
    <row r="8" spans="2:19" s="12" customFormat="1" ht="25.5" customHeight="1" x14ac:dyDescent="0.35">
      <c r="B8" s="13"/>
      <c r="C8" s="13"/>
      <c r="D8" s="13"/>
      <c r="E8" s="13"/>
      <c r="F8" s="13"/>
      <c r="G8" s="13"/>
      <c r="H8" s="11"/>
      <c r="I8" s="243" t="s">
        <v>190</v>
      </c>
      <c r="J8" s="243"/>
      <c r="K8" s="243"/>
      <c r="L8" s="243"/>
      <c r="M8" s="243"/>
      <c r="N8" s="35"/>
      <c r="O8" s="312"/>
      <c r="P8" s="313"/>
      <c r="Q8" s="313"/>
    </row>
    <row r="9" spans="2:19" s="12" customFormat="1" ht="6" customHeight="1" thickBot="1" x14ac:dyDescent="0.4">
      <c r="B9" s="14"/>
      <c r="C9" s="14"/>
      <c r="E9" s="15"/>
      <c r="F9" s="15"/>
      <c r="G9" s="15"/>
      <c r="H9" s="15"/>
      <c r="I9" s="15"/>
      <c r="J9" s="15"/>
      <c r="K9" s="15"/>
      <c r="L9" s="15"/>
      <c r="M9" s="15"/>
      <c r="P9" s="16"/>
    </row>
    <row r="10" spans="2:19" s="5" customFormat="1" ht="26.15" customHeight="1" x14ac:dyDescent="0.3">
      <c r="B10" s="317" t="s">
        <v>3</v>
      </c>
      <c r="C10" s="318"/>
      <c r="D10" s="318"/>
      <c r="E10" s="321" t="s">
        <v>69</v>
      </c>
      <c r="F10" s="224" t="s">
        <v>4</v>
      </c>
      <c r="G10" s="226" t="s">
        <v>59</v>
      </c>
      <c r="H10" s="226"/>
      <c r="I10" s="226" t="s">
        <v>231</v>
      </c>
      <c r="J10" s="226"/>
      <c r="K10" s="226" t="s">
        <v>232</v>
      </c>
      <c r="L10" s="226"/>
      <c r="M10" s="205" t="s">
        <v>233</v>
      </c>
      <c r="N10" s="206"/>
      <c r="O10" s="207"/>
      <c r="P10" s="226" t="s">
        <v>251</v>
      </c>
      <c r="Q10" s="314"/>
      <c r="R10" s="17"/>
    </row>
    <row r="11" spans="2:19" s="5" customFormat="1" ht="19" customHeight="1" thickBot="1" x14ac:dyDescent="0.35">
      <c r="B11" s="319"/>
      <c r="C11" s="320"/>
      <c r="D11" s="320"/>
      <c r="E11" s="322"/>
      <c r="F11" s="225"/>
      <c r="G11" s="58" t="s">
        <v>10</v>
      </c>
      <c r="H11" s="58" t="s">
        <v>11</v>
      </c>
      <c r="I11" s="58" t="s">
        <v>10</v>
      </c>
      <c r="J11" s="58" t="s">
        <v>11</v>
      </c>
      <c r="K11" s="228"/>
      <c r="L11" s="228"/>
      <c r="M11" s="155" t="s">
        <v>59</v>
      </c>
      <c r="N11" s="155" t="s">
        <v>76</v>
      </c>
      <c r="O11" s="155" t="s">
        <v>234</v>
      </c>
      <c r="P11" s="177" t="s">
        <v>252</v>
      </c>
      <c r="Q11" s="59" t="s">
        <v>76</v>
      </c>
      <c r="R11" s="17"/>
    </row>
    <row r="12" spans="2:19" s="17" customFormat="1" ht="29.15" customHeight="1" x14ac:dyDescent="0.35">
      <c r="B12" s="251" t="s">
        <v>168</v>
      </c>
      <c r="C12" s="315" t="s">
        <v>169</v>
      </c>
      <c r="D12" s="316"/>
      <c r="E12" s="45"/>
      <c r="F12" s="45"/>
      <c r="G12" s="46"/>
      <c r="H12" s="46"/>
      <c r="I12" s="178">
        <f>+'03_Saját beszerzés'!I9</f>
        <v>0</v>
      </c>
      <c r="J12" s="178">
        <f>+'03_Saját beszerzés'!J9</f>
        <v>0</v>
      </c>
      <c r="K12" s="47">
        <f>+J12</f>
        <v>0</v>
      </c>
      <c r="L12" s="255">
        <f>SUM(K12:K14)</f>
        <v>0</v>
      </c>
      <c r="M12" s="158"/>
      <c r="N12" s="159">
        <f>IF(ISBLANK(J12),,IF(K12&gt;Q12,Q12,K12))</f>
        <v>0</v>
      </c>
      <c r="O12" s="208">
        <f>SUM(N12:N14)</f>
        <v>0</v>
      </c>
      <c r="P12" s="133"/>
      <c r="Q12" s="48">
        <v>115000</v>
      </c>
      <c r="S12" s="17">
        <f>IF(K12&gt;Q12,K12-N12,0)</f>
        <v>0</v>
      </c>
    </row>
    <row r="13" spans="2:19" s="17" customFormat="1" ht="30.65" customHeight="1" x14ac:dyDescent="0.35">
      <c r="B13" s="252"/>
      <c r="C13" s="222" t="s">
        <v>170</v>
      </c>
      <c r="D13" s="222"/>
      <c r="E13" s="49"/>
      <c r="F13" s="49"/>
      <c r="G13" s="50"/>
      <c r="H13" s="50"/>
      <c r="I13" s="60">
        <f>+'03_Saját beszerzés'!I10</f>
        <v>0</v>
      </c>
      <c r="J13" s="60">
        <f>+'03_Saját beszerzés'!J10</f>
        <v>0</v>
      </c>
      <c r="K13" s="51">
        <f>+J13</f>
        <v>0</v>
      </c>
      <c r="L13" s="256"/>
      <c r="M13" s="160"/>
      <c r="N13" s="234">
        <f>MIN(IF(L12&gt;Q13,Q13-N12,K13+K14),K13+K14)</f>
        <v>0</v>
      </c>
      <c r="O13" s="209"/>
      <c r="P13" s="134"/>
      <c r="Q13" s="53">
        <v>450000</v>
      </c>
      <c r="S13" s="166">
        <f>+K13+K14-N13</f>
        <v>0</v>
      </c>
    </row>
    <row r="14" spans="2:19" s="17" customFormat="1" ht="20.149999999999999" customHeight="1" thickBot="1" x14ac:dyDescent="0.4">
      <c r="B14" s="253"/>
      <c r="C14" s="227" t="s">
        <v>171</v>
      </c>
      <c r="D14" s="227"/>
      <c r="E14" s="54"/>
      <c r="F14" s="54"/>
      <c r="G14" s="55"/>
      <c r="H14" s="55"/>
      <c r="I14" s="179">
        <f>+'03_Saját beszerzés'!I11</f>
        <v>0</v>
      </c>
      <c r="J14" s="179">
        <f>+'03_Saját beszerzés'!J11</f>
        <v>0</v>
      </c>
      <c r="K14" s="56">
        <f>+J14</f>
        <v>0</v>
      </c>
      <c r="L14" s="257"/>
      <c r="M14" s="161"/>
      <c r="N14" s="303"/>
      <c r="O14" s="210"/>
      <c r="P14" s="135"/>
      <c r="Q14" s="57">
        <v>450000</v>
      </c>
      <c r="S14" s="166"/>
    </row>
    <row r="15" spans="2:19" s="17" customFormat="1" ht="17.149999999999999" customHeight="1" x14ac:dyDescent="0.35">
      <c r="B15" s="289" t="s">
        <v>167</v>
      </c>
      <c r="C15" s="290"/>
      <c r="D15" s="290"/>
      <c r="E15" s="290"/>
      <c r="F15" s="290"/>
      <c r="G15" s="290"/>
      <c r="H15" s="290"/>
      <c r="I15" s="290"/>
      <c r="J15" s="291"/>
      <c r="K15" s="292">
        <f>SUM(K17:K55)</f>
        <v>0</v>
      </c>
      <c r="L15" s="292"/>
      <c r="M15" s="156">
        <f>SUM(M17:M55)</f>
        <v>0</v>
      </c>
      <c r="N15" s="156">
        <f>SUM(N17:N55)</f>
        <v>0</v>
      </c>
      <c r="O15" s="156">
        <f>+N15+M15</f>
        <v>0</v>
      </c>
      <c r="P15" s="18"/>
      <c r="Q15" s="70"/>
    </row>
    <row r="16" spans="2:19" s="17" customFormat="1" ht="17.149999999999999" customHeight="1" x14ac:dyDescent="0.35">
      <c r="B16" s="219" t="s">
        <v>166</v>
      </c>
      <c r="C16" s="220"/>
      <c r="D16" s="220"/>
      <c r="E16" s="220"/>
      <c r="F16" s="220"/>
      <c r="G16" s="220"/>
      <c r="H16" s="220"/>
      <c r="I16" s="220"/>
      <c r="J16" s="221"/>
      <c r="K16" s="211">
        <f>SUM(K17:K55)</f>
        <v>0</v>
      </c>
      <c r="L16" s="211"/>
      <c r="M16" s="157">
        <f>SUM(M17:M55)</f>
        <v>0</v>
      </c>
      <c r="N16" s="157">
        <f>SUM(N17:N55)</f>
        <v>0</v>
      </c>
      <c r="O16" s="157">
        <f>+N16+M16</f>
        <v>0</v>
      </c>
      <c r="P16" s="19"/>
      <c r="Q16" s="71"/>
    </row>
    <row r="17" spans="2:19" s="17" customFormat="1" ht="17.149999999999999" customHeight="1" x14ac:dyDescent="0.35">
      <c r="B17" s="237" t="s">
        <v>165</v>
      </c>
      <c r="C17" s="222" t="s">
        <v>99</v>
      </c>
      <c r="D17" s="222"/>
      <c r="E17" s="222"/>
      <c r="F17" s="222"/>
      <c r="G17" s="60">
        <f>'02_Vállalkozási szerződés1'!G46+'02_Vállalkozási szerződés2 '!G47+'02_Vállalkozási szerződés3'!G47+'02_Vállalkozási szerződés4'!G47+'03_Saját beszerzés'!G14</f>
        <v>0</v>
      </c>
      <c r="H17" s="60">
        <f>'02_Vállalkozási szerződés1'!H46+'02_Vállalkozási szerződés2 '!H47+'02_Vállalkozási szerződés3'!H47+'02_Vállalkozási szerződés4'!H47+'03_Saját beszerzés'!H14</f>
        <v>0</v>
      </c>
      <c r="I17" s="60">
        <f>'02_Vállalkozási szerződés1'!I46+'02_Vállalkozási szerződés2 '!I47+'02_Vállalkozási szerződés3'!I47+'02_Vállalkozási szerződés4'!I47</f>
        <v>0</v>
      </c>
      <c r="J17" s="60">
        <f>'02_Vállalkozási szerződés1'!J46+'02_Vállalkozási szerződés2 '!J47+'02_Vállalkozási szerződés3'!J47+'02_Vállalkozási szerződés4'!J47</f>
        <v>0</v>
      </c>
      <c r="K17" s="51">
        <f t="shared" ref="K17:K58" si="0">IFERROR(H17+J17,)</f>
        <v>0</v>
      </c>
      <c r="L17" s="231">
        <f>SUM(K17:K20)</f>
        <v>0</v>
      </c>
      <c r="M17" s="157">
        <f>IF(H17&gt;P17,P17,H17)</f>
        <v>0</v>
      </c>
      <c r="N17" s="157">
        <f>IF(J17&gt;Q17,Q17,J17)</f>
        <v>0</v>
      </c>
      <c r="O17" s="234">
        <f>SUM(M17:N20)</f>
        <v>0</v>
      </c>
      <c r="P17" s="52">
        <v>266700</v>
      </c>
      <c r="Q17" s="53">
        <v>457200</v>
      </c>
      <c r="S17" s="17">
        <f>IF(K17&gt;M17+Q17,+K17-M17-N17,0)</f>
        <v>0</v>
      </c>
    </row>
    <row r="18" spans="2:19" s="17" customFormat="1" ht="17.149999999999999" customHeight="1" x14ac:dyDescent="0.35">
      <c r="B18" s="238"/>
      <c r="C18" s="222" t="s">
        <v>100</v>
      </c>
      <c r="D18" s="223"/>
      <c r="E18" s="222"/>
      <c r="F18" s="222"/>
      <c r="G18" s="60">
        <f>'02_Vállalkozási szerződés1'!G47+'02_Vállalkozási szerződés2 '!G48+'02_Vállalkozási szerződés3'!G48+'02_Vállalkozási szerződés4'!G48+'03_Saját beszerzés'!G15</f>
        <v>0</v>
      </c>
      <c r="H18" s="60">
        <f>'02_Vállalkozási szerződés1'!H47+'02_Vállalkozási szerződés2 '!H48+'02_Vállalkozási szerződés3'!H48+'02_Vállalkozási szerződés4'!H48+'03_Saját beszerzés'!H15</f>
        <v>0</v>
      </c>
      <c r="I18" s="60">
        <f>'02_Vállalkozási szerződés1'!I47+'02_Vállalkozási szerződés2 '!I48+'02_Vállalkozási szerződés3'!I48+'02_Vállalkozási szerződés4'!I48</f>
        <v>0</v>
      </c>
      <c r="J18" s="60">
        <f>'02_Vállalkozási szerződés1'!J47+'02_Vállalkozási szerződés2 '!J48+'02_Vállalkozási szerződés3'!J48+'02_Vállalkozási szerződés4'!J48</f>
        <v>0</v>
      </c>
      <c r="K18" s="51">
        <f t="shared" si="0"/>
        <v>0</v>
      </c>
      <c r="L18" s="232"/>
      <c r="M18" s="157">
        <f>IF(H18&gt;P18,P18,H18)</f>
        <v>0</v>
      </c>
      <c r="N18" s="157">
        <f>IF(J18&gt;Q18,Q18,J18)</f>
        <v>0</v>
      </c>
      <c r="O18" s="235"/>
      <c r="P18" s="52">
        <v>533400</v>
      </c>
      <c r="Q18" s="53">
        <v>254000</v>
      </c>
      <c r="S18" s="17">
        <f t="shared" ref="S18:S55" si="1">IF(K18&gt;M18+Q18,+K18-M18-N18,0)</f>
        <v>0</v>
      </c>
    </row>
    <row r="19" spans="2:19" s="17" customFormat="1" ht="17.149999999999999" customHeight="1" x14ac:dyDescent="0.35">
      <c r="B19" s="238"/>
      <c r="C19" s="212" t="s">
        <v>235</v>
      </c>
      <c r="D19" s="170" t="s">
        <v>236</v>
      </c>
      <c r="E19" s="168"/>
      <c r="F19" s="62" t="s">
        <v>155</v>
      </c>
      <c r="G19" s="60">
        <f>'02_Vállalkozási szerződés1'!G48+'02_Vállalkozási szerződés2 '!G49+'02_Vállalkozási szerződés3'!G49+'02_Vállalkozási szerződés4'!G49+'03_Saját beszerzés'!G16</f>
        <v>0</v>
      </c>
      <c r="H19" s="60">
        <f>'02_Vállalkozási szerződés1'!H48+'02_Vállalkozási szerződés2 '!H49+'02_Vállalkozási szerződés3'!H49+'02_Vállalkozási szerződés4'!H49+'03_Saját beszerzés'!H16</f>
        <v>0</v>
      </c>
      <c r="I19" s="60">
        <f>'02_Vállalkozási szerződés1'!I48+'02_Vállalkozási szerződés2 '!I49+'02_Vállalkozási szerződés3'!I49+'02_Vállalkozási szerződés4'!I49</f>
        <v>0</v>
      </c>
      <c r="J19" s="60">
        <f>'02_Vállalkozási szerződés1'!J48+'02_Vállalkozási szerződés2 '!J49+'02_Vállalkozási szerződés3'!J49+'02_Vállalkozási szerződés4'!J49</f>
        <v>0</v>
      </c>
      <c r="K19" s="51">
        <f t="shared" si="0"/>
        <v>0</v>
      </c>
      <c r="L19" s="232"/>
      <c r="M19" s="157">
        <f>IF(E19=0,,IF(H19/E19&gt;P19,INT(E19*P19),H19))</f>
        <v>0</v>
      </c>
      <c r="N19" s="157">
        <f>IF(E19=0,,IF(J19/E19&gt;Q19,INT(Q19*E19),J19))</f>
        <v>0</v>
      </c>
      <c r="O19" s="235"/>
      <c r="P19" s="52">
        <v>131585</v>
      </c>
      <c r="Q19" s="53">
        <v>26515</v>
      </c>
      <c r="S19" s="17">
        <f t="shared" ref="S19:S53" si="2">IF(ISBLANK(E19),0,IF(K19&gt;M19+Q19,+K19-M19-N19,0))</f>
        <v>0</v>
      </c>
    </row>
    <row r="20" spans="2:19" s="17" customFormat="1" ht="24" customHeight="1" x14ac:dyDescent="0.35">
      <c r="B20" s="239"/>
      <c r="C20" s="213"/>
      <c r="D20" s="171" t="s">
        <v>237</v>
      </c>
      <c r="E20" s="168"/>
      <c r="F20" s="62" t="s">
        <v>155</v>
      </c>
      <c r="G20" s="60">
        <f>'02_Vállalkozási szerződés1'!G49+'02_Vállalkozási szerződés2 '!G50+'02_Vállalkozási szerződés3'!G50+'02_Vállalkozási szerződés4'!G50+'03_Saját beszerzés'!G17</f>
        <v>0</v>
      </c>
      <c r="H20" s="60">
        <f>'02_Vállalkozási szerződés1'!H49+'02_Vállalkozási szerződés2 '!H50+'02_Vállalkozási szerződés3'!H50+'02_Vállalkozási szerződés4'!H50+'03_Saját beszerzés'!H17</f>
        <v>0</v>
      </c>
      <c r="I20" s="60">
        <f>'02_Vállalkozási szerződés1'!I49+'02_Vállalkozási szerződés2 '!I50+'02_Vállalkozási szerződés3'!I50+'02_Vállalkozási szerződés4'!I50</f>
        <v>0</v>
      </c>
      <c r="J20" s="60">
        <f>'02_Vállalkozási szerződés1'!J49+'02_Vállalkozási szerződés2 '!J50+'02_Vállalkozási szerződés3'!J50+'02_Vállalkozási szerződés4'!J50</f>
        <v>0</v>
      </c>
      <c r="K20" s="51">
        <f t="shared" si="0"/>
        <v>0</v>
      </c>
      <c r="L20" s="233"/>
      <c r="M20" s="157">
        <f t="shared" ref="M20:M53" si="3">IF(E20=0,,IF(H20/E20&gt;P20,INT(E20*P20),H20))</f>
        <v>0</v>
      </c>
      <c r="N20" s="157">
        <f t="shared" ref="N20:N53" si="4">IF(E20=0,,IF(J20/E20&gt;Q20,INT(Q20*E20),J20))</f>
        <v>0</v>
      </c>
      <c r="O20" s="236"/>
      <c r="P20" s="52">
        <v>159874</v>
      </c>
      <c r="Q20" s="53">
        <v>26515</v>
      </c>
      <c r="S20" s="17">
        <f t="shared" si="2"/>
        <v>0</v>
      </c>
    </row>
    <row r="21" spans="2:19" s="17" customFormat="1" ht="17.149999999999999" customHeight="1" x14ac:dyDescent="0.35">
      <c r="B21" s="268" t="s">
        <v>164</v>
      </c>
      <c r="C21" s="222" t="s">
        <v>82</v>
      </c>
      <c r="D21" s="169" t="s">
        <v>77</v>
      </c>
      <c r="E21" s="142"/>
      <c r="F21" s="62" t="s">
        <v>155</v>
      </c>
      <c r="G21" s="60">
        <f>'02_Vállalkozási szerződés1'!G50+'02_Vállalkozási szerződés2 '!G51+'02_Vállalkozási szerződés3'!G51+'02_Vállalkozási szerződés4'!G51+'03_Saját beszerzés'!G18</f>
        <v>0</v>
      </c>
      <c r="H21" s="60">
        <f>'02_Vállalkozási szerződés1'!H50+'02_Vállalkozási szerződés2 '!H51+'02_Vállalkozási szerződés3'!H51+'02_Vállalkozási szerződés4'!H51+'03_Saját beszerzés'!H18</f>
        <v>0</v>
      </c>
      <c r="I21" s="60">
        <f>'02_Vállalkozási szerződés1'!I50+'02_Vállalkozási szerződés2 '!I51+'02_Vállalkozási szerződés3'!I51+'02_Vállalkozási szerződés4'!I51</f>
        <v>0</v>
      </c>
      <c r="J21" s="60">
        <f>'02_Vállalkozási szerződés1'!J50+'02_Vállalkozási szerződés2 '!J51+'02_Vállalkozási szerződés3'!J51+'02_Vállalkozási szerződés4'!J51</f>
        <v>0</v>
      </c>
      <c r="K21" s="51">
        <f t="shared" si="0"/>
        <v>0</v>
      </c>
      <c r="L21" s="256">
        <f>SUM(K21:K43)</f>
        <v>0</v>
      </c>
      <c r="M21" s="157">
        <f t="shared" si="3"/>
        <v>0</v>
      </c>
      <c r="N21" s="157">
        <f t="shared" si="4"/>
        <v>0</v>
      </c>
      <c r="O21" s="209">
        <f>SUM(M21:N43)</f>
        <v>0</v>
      </c>
      <c r="P21" s="60">
        <v>25838</v>
      </c>
      <c r="Q21" s="53">
        <v>25220</v>
      </c>
      <c r="S21" s="17">
        <f t="shared" si="2"/>
        <v>0</v>
      </c>
    </row>
    <row r="22" spans="2:19" s="17" customFormat="1" ht="17.149999999999999" customHeight="1" x14ac:dyDescent="0.35">
      <c r="B22" s="268"/>
      <c r="C22" s="222"/>
      <c r="D22" s="63" t="s">
        <v>78</v>
      </c>
      <c r="E22" s="142"/>
      <c r="F22" s="62" t="s">
        <v>155</v>
      </c>
      <c r="G22" s="60">
        <f>'02_Vállalkozási szerződés1'!G51+'02_Vállalkozási szerződés2 '!G52+'02_Vállalkozási szerződés3'!G52+'02_Vállalkozási szerződés4'!G52+'03_Saját beszerzés'!G19</f>
        <v>0</v>
      </c>
      <c r="H22" s="60">
        <f>'02_Vállalkozási szerződés1'!H51+'02_Vállalkozási szerződés2 '!H52+'02_Vállalkozási szerződés3'!H52+'02_Vállalkozási szerződés4'!H52+'03_Saját beszerzés'!H19</f>
        <v>0</v>
      </c>
      <c r="I22" s="60">
        <f>'02_Vállalkozási szerződés1'!I51+'02_Vállalkozási szerződés2 '!I52+'02_Vállalkozási szerződés3'!I52+'02_Vállalkozási szerződés4'!I52</f>
        <v>0</v>
      </c>
      <c r="J22" s="60">
        <f>'02_Vállalkozási szerződés1'!J51+'02_Vállalkozási szerződés2 '!J52+'02_Vállalkozási szerződés3'!J52+'02_Vállalkozási szerződés4'!J52</f>
        <v>0</v>
      </c>
      <c r="K22" s="51">
        <f t="shared" si="0"/>
        <v>0</v>
      </c>
      <c r="L22" s="256"/>
      <c r="M22" s="157">
        <f t="shared" si="3"/>
        <v>0</v>
      </c>
      <c r="N22" s="157">
        <f t="shared" si="4"/>
        <v>0</v>
      </c>
      <c r="O22" s="209"/>
      <c r="P22" s="60">
        <v>27414</v>
      </c>
      <c r="Q22" s="53">
        <v>25220</v>
      </c>
      <c r="S22" s="17">
        <f t="shared" si="2"/>
        <v>0</v>
      </c>
    </row>
    <row r="23" spans="2:19" s="17" customFormat="1" ht="17.149999999999999" customHeight="1" x14ac:dyDescent="0.35">
      <c r="B23" s="268"/>
      <c r="C23" s="222"/>
      <c r="D23" s="63" t="s">
        <v>79</v>
      </c>
      <c r="E23" s="142"/>
      <c r="F23" s="62" t="s">
        <v>155</v>
      </c>
      <c r="G23" s="60">
        <f>'02_Vállalkozási szerződés1'!G52+'02_Vállalkozási szerződés2 '!G53+'02_Vállalkozási szerződés3'!G53+'02_Vállalkozási szerződés4'!G53+'03_Saját beszerzés'!G20</f>
        <v>0</v>
      </c>
      <c r="H23" s="60">
        <f>'02_Vállalkozási szerződés1'!H52+'02_Vállalkozási szerződés2 '!H53+'02_Vállalkozási szerződés3'!H53+'02_Vállalkozási szerződés4'!H53+'03_Saját beszerzés'!H20</f>
        <v>0</v>
      </c>
      <c r="I23" s="60">
        <f>'02_Vállalkozási szerződés1'!I52+'02_Vállalkozási szerződés2 '!I53+'02_Vállalkozási szerződés3'!I53+'02_Vállalkozási szerződés4'!I53</f>
        <v>0</v>
      </c>
      <c r="J23" s="60">
        <f>'02_Vállalkozási szerződés1'!J52+'02_Vállalkozási szerződés2 '!J53+'02_Vállalkozási szerződés3'!J53+'02_Vállalkozási szerződés4'!J53</f>
        <v>0</v>
      </c>
      <c r="K23" s="51">
        <f t="shared" si="0"/>
        <v>0</v>
      </c>
      <c r="L23" s="256"/>
      <c r="M23" s="157">
        <f t="shared" si="3"/>
        <v>0</v>
      </c>
      <c r="N23" s="157">
        <f t="shared" si="4"/>
        <v>0</v>
      </c>
      <c r="O23" s="209"/>
      <c r="P23" s="60">
        <v>30565</v>
      </c>
      <c r="Q23" s="53">
        <v>25220</v>
      </c>
      <c r="S23" s="17">
        <f t="shared" si="2"/>
        <v>0</v>
      </c>
    </row>
    <row r="24" spans="2:19" s="17" customFormat="1" ht="17.149999999999999" customHeight="1" x14ac:dyDescent="0.35">
      <c r="B24" s="268"/>
      <c r="C24" s="222" t="s">
        <v>83</v>
      </c>
      <c r="D24" s="61" t="s">
        <v>77</v>
      </c>
      <c r="E24" s="142"/>
      <c r="F24" s="62" t="s">
        <v>155</v>
      </c>
      <c r="G24" s="60">
        <f>'02_Vállalkozási szerződés1'!G53+'02_Vállalkozási szerződés2 '!G54+'02_Vállalkozási szerződés3'!G54+'02_Vállalkozási szerződés4'!G54+'03_Saját beszerzés'!G21</f>
        <v>0</v>
      </c>
      <c r="H24" s="60">
        <f>'02_Vállalkozási szerződés1'!H53+'02_Vállalkozási szerződés2 '!H54+'02_Vállalkozási szerződés3'!H54+'02_Vállalkozási szerződés4'!H54+'03_Saját beszerzés'!H21</f>
        <v>0</v>
      </c>
      <c r="I24" s="60">
        <f>'02_Vállalkozási szerződés1'!I53+'02_Vállalkozási szerződés2 '!I54+'02_Vállalkozási szerződés3'!I54+'02_Vállalkozási szerződés4'!I54</f>
        <v>0</v>
      </c>
      <c r="J24" s="60">
        <f>'02_Vállalkozási szerződés1'!J53+'02_Vállalkozási szerződés2 '!J54+'02_Vállalkozási szerződés3'!J54+'02_Vállalkozási szerződés4'!J54</f>
        <v>0</v>
      </c>
      <c r="K24" s="51">
        <f t="shared" si="0"/>
        <v>0</v>
      </c>
      <c r="L24" s="256"/>
      <c r="M24" s="157">
        <f t="shared" si="3"/>
        <v>0</v>
      </c>
      <c r="N24" s="157">
        <f t="shared" si="4"/>
        <v>0</v>
      </c>
      <c r="O24" s="209"/>
      <c r="P24" s="60">
        <v>27767</v>
      </c>
      <c r="Q24" s="53">
        <v>25220</v>
      </c>
      <c r="S24" s="17">
        <f t="shared" si="2"/>
        <v>0</v>
      </c>
    </row>
    <row r="25" spans="2:19" s="17" customFormat="1" ht="17.149999999999999" customHeight="1" x14ac:dyDescent="0.35">
      <c r="B25" s="268"/>
      <c r="C25" s="222"/>
      <c r="D25" s="63" t="s">
        <v>78</v>
      </c>
      <c r="E25" s="142"/>
      <c r="F25" s="62" t="s">
        <v>155</v>
      </c>
      <c r="G25" s="60">
        <f>'02_Vállalkozási szerződés1'!G54+'02_Vállalkozási szerződés2 '!G55+'02_Vállalkozási szerződés3'!G55+'02_Vállalkozási szerződés4'!G55+'03_Saját beszerzés'!G22</f>
        <v>0</v>
      </c>
      <c r="H25" s="60">
        <f>'02_Vállalkozási szerződés1'!H54+'02_Vállalkozási szerződés2 '!H55+'02_Vállalkozási szerződés3'!H55+'02_Vállalkozási szerződés4'!H55+'03_Saját beszerzés'!H22</f>
        <v>0</v>
      </c>
      <c r="I25" s="60">
        <f>'02_Vállalkozási szerződés1'!I54+'02_Vállalkozási szerződés2 '!I55+'02_Vállalkozási szerződés3'!I55+'02_Vállalkozási szerződés4'!I55</f>
        <v>0</v>
      </c>
      <c r="J25" s="60">
        <f>'02_Vállalkozási szerződés1'!J54+'02_Vállalkozási szerződés2 '!J55+'02_Vállalkozási szerződés3'!J55+'02_Vállalkozási szerződés4'!J55</f>
        <v>0</v>
      </c>
      <c r="K25" s="51">
        <f t="shared" si="0"/>
        <v>0</v>
      </c>
      <c r="L25" s="256"/>
      <c r="M25" s="157">
        <f t="shared" si="3"/>
        <v>0</v>
      </c>
      <c r="N25" s="157">
        <f t="shared" si="4"/>
        <v>0</v>
      </c>
      <c r="O25" s="209"/>
      <c r="P25" s="60">
        <v>30307</v>
      </c>
      <c r="Q25" s="53">
        <v>25220</v>
      </c>
      <c r="S25" s="17">
        <f t="shared" si="2"/>
        <v>0</v>
      </c>
    </row>
    <row r="26" spans="2:19" s="17" customFormat="1" ht="17.149999999999999" customHeight="1" x14ac:dyDescent="0.35">
      <c r="B26" s="268"/>
      <c r="C26" s="222"/>
      <c r="D26" s="63" t="s">
        <v>79</v>
      </c>
      <c r="E26" s="142"/>
      <c r="F26" s="62" t="s">
        <v>155</v>
      </c>
      <c r="G26" s="60">
        <f>'02_Vállalkozási szerződés1'!G55+'02_Vállalkozási szerződés2 '!G56+'02_Vállalkozási szerződés3'!G56+'02_Vállalkozási szerződés4'!G56+'03_Saját beszerzés'!G23</f>
        <v>0</v>
      </c>
      <c r="H26" s="60">
        <f>'02_Vállalkozási szerződés1'!H55+'02_Vállalkozási szerződés2 '!H56+'02_Vállalkozási szerződés3'!H56+'02_Vállalkozási szerződés4'!H56+'03_Saját beszerzés'!H23</f>
        <v>0</v>
      </c>
      <c r="I26" s="60">
        <f>'02_Vállalkozási szerződés1'!I55+'02_Vállalkozási szerződés2 '!I56+'02_Vállalkozási szerződés3'!I56+'02_Vállalkozási szerződés4'!I56</f>
        <v>0</v>
      </c>
      <c r="J26" s="60">
        <f>'02_Vállalkozási szerződés1'!J55+'02_Vállalkozási szerződés2 '!J56+'02_Vállalkozási szerződés3'!J56+'02_Vállalkozási szerződés4'!J56</f>
        <v>0</v>
      </c>
      <c r="K26" s="51">
        <f t="shared" si="0"/>
        <v>0</v>
      </c>
      <c r="L26" s="256"/>
      <c r="M26" s="157">
        <f t="shared" si="3"/>
        <v>0</v>
      </c>
      <c r="N26" s="157">
        <f t="shared" si="4"/>
        <v>0</v>
      </c>
      <c r="O26" s="209"/>
      <c r="P26" s="60">
        <v>34422</v>
      </c>
      <c r="Q26" s="53">
        <v>25220</v>
      </c>
      <c r="S26" s="17">
        <f t="shared" si="2"/>
        <v>0</v>
      </c>
    </row>
    <row r="27" spans="2:19" s="17" customFormat="1" ht="17.149999999999999" customHeight="1" x14ac:dyDescent="0.35">
      <c r="B27" s="268"/>
      <c r="C27" s="222" t="s">
        <v>84</v>
      </c>
      <c r="D27" s="61" t="s">
        <v>77</v>
      </c>
      <c r="E27" s="142"/>
      <c r="F27" s="62" t="s">
        <v>155</v>
      </c>
      <c r="G27" s="60">
        <f>'02_Vállalkozási szerződés1'!G56+'02_Vállalkozási szerződés2 '!G57+'02_Vállalkozási szerződés3'!G57+'02_Vállalkozási szerződés4'!G57+'03_Saját beszerzés'!G24</f>
        <v>0</v>
      </c>
      <c r="H27" s="60">
        <f>'02_Vállalkozási szerződés1'!H56+'02_Vállalkozási szerződés2 '!H57+'02_Vállalkozási szerződés3'!H57+'02_Vállalkozási szerződés4'!H57+'03_Saját beszerzés'!H24</f>
        <v>0</v>
      </c>
      <c r="I27" s="60">
        <f>'02_Vállalkozási szerződés1'!I56+'02_Vállalkozási szerződés2 '!I57+'02_Vállalkozási szerződés3'!I57+'02_Vállalkozási szerződés4'!I57</f>
        <v>0</v>
      </c>
      <c r="J27" s="60">
        <f>'02_Vállalkozási szerződés1'!J56+'02_Vállalkozási szerződés2 '!J57+'02_Vállalkozási szerződés3'!J57+'02_Vállalkozási szerződés4'!J57</f>
        <v>0</v>
      </c>
      <c r="K27" s="51">
        <f t="shared" si="0"/>
        <v>0</v>
      </c>
      <c r="L27" s="256"/>
      <c r="M27" s="157">
        <f t="shared" si="3"/>
        <v>0</v>
      </c>
      <c r="N27" s="157">
        <f t="shared" si="4"/>
        <v>0</v>
      </c>
      <c r="O27" s="209"/>
      <c r="P27" s="60">
        <v>31942</v>
      </c>
      <c r="Q27" s="53">
        <v>25220</v>
      </c>
      <c r="S27" s="17">
        <f t="shared" si="2"/>
        <v>0</v>
      </c>
    </row>
    <row r="28" spans="2:19" s="17" customFormat="1" ht="17.149999999999999" customHeight="1" x14ac:dyDescent="0.35">
      <c r="B28" s="268"/>
      <c r="C28" s="222"/>
      <c r="D28" s="63" t="s">
        <v>78</v>
      </c>
      <c r="E28" s="142"/>
      <c r="F28" s="62" t="s">
        <v>155</v>
      </c>
      <c r="G28" s="60">
        <f>'02_Vállalkozási szerződés1'!G57+'02_Vállalkozási szerződés2 '!G58+'02_Vállalkozási szerződés3'!G58+'02_Vállalkozási szerződés4'!G58+'03_Saját beszerzés'!G25</f>
        <v>0</v>
      </c>
      <c r="H28" s="60">
        <f>'02_Vállalkozási szerződés1'!H57+'02_Vállalkozási szerződés2 '!H58+'02_Vállalkozási szerződés3'!H58+'02_Vállalkozási szerződés4'!H58+'03_Saját beszerzés'!H25</f>
        <v>0</v>
      </c>
      <c r="I28" s="60">
        <f>'02_Vállalkozási szerződés1'!I57+'02_Vállalkozási szerződés2 '!I58+'02_Vállalkozási szerződés3'!I58+'02_Vállalkozási szerződés4'!I58</f>
        <v>0</v>
      </c>
      <c r="J28" s="60">
        <f>'02_Vállalkozási szerződés1'!J57+'02_Vállalkozási szerződés2 '!J58+'02_Vállalkozási szerződés3'!J58+'02_Vállalkozási szerződés4'!J58</f>
        <v>0</v>
      </c>
      <c r="K28" s="51">
        <f t="shared" si="0"/>
        <v>0</v>
      </c>
      <c r="L28" s="256"/>
      <c r="M28" s="157">
        <f t="shared" si="3"/>
        <v>0</v>
      </c>
      <c r="N28" s="157">
        <f t="shared" si="4"/>
        <v>0</v>
      </c>
      <c r="O28" s="209"/>
      <c r="P28" s="60">
        <v>35496</v>
      </c>
      <c r="Q28" s="53">
        <v>25220</v>
      </c>
      <c r="S28" s="17">
        <f t="shared" si="2"/>
        <v>0</v>
      </c>
    </row>
    <row r="29" spans="2:19" s="17" customFormat="1" ht="17.149999999999999" customHeight="1" x14ac:dyDescent="0.35">
      <c r="B29" s="268"/>
      <c r="C29" s="222"/>
      <c r="D29" s="63" t="s">
        <v>79</v>
      </c>
      <c r="E29" s="142"/>
      <c r="F29" s="62" t="s">
        <v>155</v>
      </c>
      <c r="G29" s="60">
        <f>'02_Vállalkozási szerződés1'!G58+'02_Vállalkozási szerződés2 '!G59+'02_Vállalkozási szerződés3'!G59+'02_Vállalkozási szerződés4'!G59+'03_Saját beszerzés'!G26</f>
        <v>0</v>
      </c>
      <c r="H29" s="60">
        <f>'02_Vállalkozási szerződés1'!H58+'02_Vállalkozási szerződés2 '!H59+'02_Vállalkozási szerződés3'!H59+'02_Vállalkozási szerződés4'!H59+'03_Saját beszerzés'!H26</f>
        <v>0</v>
      </c>
      <c r="I29" s="60">
        <f>'02_Vállalkozási szerződés1'!I58+'02_Vállalkozási szerződés2 '!I59+'02_Vállalkozási szerződés3'!I59+'02_Vállalkozási szerződés4'!I59</f>
        <v>0</v>
      </c>
      <c r="J29" s="60">
        <f>'02_Vállalkozási szerződés1'!J58+'02_Vállalkozási szerződés2 '!J59+'02_Vállalkozási szerződés3'!J59+'02_Vállalkozási szerződés4'!J59</f>
        <v>0</v>
      </c>
      <c r="K29" s="51">
        <f t="shared" si="0"/>
        <v>0</v>
      </c>
      <c r="L29" s="256"/>
      <c r="M29" s="157">
        <f t="shared" si="3"/>
        <v>0</v>
      </c>
      <c r="N29" s="157">
        <f t="shared" si="4"/>
        <v>0</v>
      </c>
      <c r="O29" s="209"/>
      <c r="P29" s="60">
        <v>41258</v>
      </c>
      <c r="Q29" s="53">
        <v>25220</v>
      </c>
      <c r="S29" s="17">
        <f t="shared" si="2"/>
        <v>0</v>
      </c>
    </row>
    <row r="30" spans="2:19" s="17" customFormat="1" ht="17.149999999999999" customHeight="1" x14ac:dyDescent="0.35">
      <c r="B30" s="268"/>
      <c r="C30" s="222" t="s">
        <v>88</v>
      </c>
      <c r="D30" s="61" t="s">
        <v>85</v>
      </c>
      <c r="E30" s="142"/>
      <c r="F30" s="62" t="s">
        <v>155</v>
      </c>
      <c r="G30" s="60">
        <f>'02_Vállalkozási szerződés1'!G59+'02_Vállalkozási szerződés2 '!G60+'02_Vállalkozási szerződés3'!G60+'02_Vállalkozási szerződés4'!G60+'03_Saját beszerzés'!G27</f>
        <v>0</v>
      </c>
      <c r="H30" s="60">
        <f>'02_Vállalkozási szerződés1'!H59+'02_Vállalkozási szerződés2 '!H60+'02_Vállalkozási szerződés3'!H60+'02_Vállalkozási szerződés4'!H60+'03_Saját beszerzés'!H27</f>
        <v>0</v>
      </c>
      <c r="I30" s="60">
        <f>'02_Vállalkozási szerződés1'!I59+'02_Vállalkozási szerződés2 '!I60+'02_Vállalkozási szerződés3'!I60+'02_Vállalkozási szerződés4'!I60</f>
        <v>0</v>
      </c>
      <c r="J30" s="60">
        <f>'02_Vállalkozási szerződés1'!J59+'02_Vállalkozási szerződés2 '!J60+'02_Vállalkozási szerződés3'!J60+'02_Vállalkozási szerződés4'!J60</f>
        <v>0</v>
      </c>
      <c r="K30" s="51">
        <f t="shared" si="0"/>
        <v>0</v>
      </c>
      <c r="L30" s="256"/>
      <c r="M30" s="157">
        <f t="shared" si="3"/>
        <v>0</v>
      </c>
      <c r="N30" s="157">
        <f t="shared" si="4"/>
        <v>0</v>
      </c>
      <c r="O30" s="209"/>
      <c r="P30" s="60">
        <v>17108</v>
      </c>
      <c r="Q30" s="53">
        <v>32296</v>
      </c>
      <c r="S30" s="17">
        <f t="shared" si="2"/>
        <v>0</v>
      </c>
    </row>
    <row r="31" spans="2:19" s="17" customFormat="1" ht="17.149999999999999" customHeight="1" x14ac:dyDescent="0.35">
      <c r="B31" s="268"/>
      <c r="C31" s="222"/>
      <c r="D31" s="63" t="s">
        <v>86</v>
      </c>
      <c r="E31" s="142"/>
      <c r="F31" s="62" t="s">
        <v>155</v>
      </c>
      <c r="G31" s="60">
        <f>'02_Vállalkozási szerződés1'!G60+'02_Vállalkozási szerződés2 '!G61+'02_Vállalkozási szerződés3'!G61+'02_Vállalkozási szerződés4'!G61+'03_Saját beszerzés'!G28</f>
        <v>0</v>
      </c>
      <c r="H31" s="60">
        <f>'02_Vállalkozási szerződés1'!H60+'02_Vállalkozási szerződés2 '!H61+'02_Vállalkozási szerződés3'!H61+'02_Vállalkozási szerződés4'!H61+'03_Saját beszerzés'!H28</f>
        <v>0</v>
      </c>
      <c r="I31" s="60">
        <f>'02_Vállalkozási szerződés1'!I60+'02_Vállalkozási szerződés2 '!I61+'02_Vállalkozási szerződés3'!I61+'02_Vállalkozási szerződés4'!I61</f>
        <v>0</v>
      </c>
      <c r="J31" s="60">
        <f>'02_Vállalkozási szerződés1'!J60+'02_Vállalkozási szerződés2 '!J61+'02_Vállalkozási szerződés3'!J61+'02_Vállalkozási szerződés4'!J61</f>
        <v>0</v>
      </c>
      <c r="K31" s="51">
        <f t="shared" si="0"/>
        <v>0</v>
      </c>
      <c r="L31" s="256"/>
      <c r="M31" s="157">
        <f t="shared" si="3"/>
        <v>0</v>
      </c>
      <c r="N31" s="157">
        <f t="shared" si="4"/>
        <v>0</v>
      </c>
      <c r="O31" s="209"/>
      <c r="P31" s="60">
        <v>18847</v>
      </c>
      <c r="Q31" s="53">
        <v>32296</v>
      </c>
      <c r="S31" s="17">
        <f t="shared" si="2"/>
        <v>0</v>
      </c>
    </row>
    <row r="32" spans="2:19" s="17" customFormat="1" ht="17.149999999999999" customHeight="1" x14ac:dyDescent="0.35">
      <c r="B32" s="268"/>
      <c r="C32" s="222"/>
      <c r="D32" s="63" t="s">
        <v>87</v>
      </c>
      <c r="E32" s="142"/>
      <c r="F32" s="62" t="s">
        <v>155</v>
      </c>
      <c r="G32" s="60">
        <f>'02_Vállalkozási szerződés1'!G61+'02_Vállalkozási szerződés2 '!G62+'02_Vállalkozási szerződés3'!G62+'02_Vállalkozási szerződés4'!G62+'03_Saját beszerzés'!G29</f>
        <v>0</v>
      </c>
      <c r="H32" s="60">
        <f>'02_Vállalkozási szerződés1'!H61+'02_Vállalkozási szerződés2 '!H62+'02_Vállalkozási szerződés3'!H62+'02_Vállalkozási szerződés4'!H62+'03_Saját beszerzés'!H29</f>
        <v>0</v>
      </c>
      <c r="I32" s="60">
        <f>'02_Vállalkozási szerződés1'!I61+'02_Vállalkozási szerződés2 '!I62+'02_Vállalkozási szerződés3'!I62+'02_Vállalkozási szerződés4'!I62</f>
        <v>0</v>
      </c>
      <c r="J32" s="60">
        <f>'02_Vállalkozási szerződés1'!J61+'02_Vállalkozási szerződés2 '!J62+'02_Vállalkozási szerződés3'!J62+'02_Vállalkozási szerződés4'!J62</f>
        <v>0</v>
      </c>
      <c r="K32" s="51">
        <f t="shared" si="0"/>
        <v>0</v>
      </c>
      <c r="L32" s="256"/>
      <c r="M32" s="157">
        <f t="shared" si="3"/>
        <v>0</v>
      </c>
      <c r="N32" s="157">
        <f t="shared" si="4"/>
        <v>0</v>
      </c>
      <c r="O32" s="209"/>
      <c r="P32" s="60">
        <v>21006</v>
      </c>
      <c r="Q32" s="53">
        <v>32296</v>
      </c>
      <c r="S32" s="17">
        <f t="shared" si="2"/>
        <v>0</v>
      </c>
    </row>
    <row r="33" spans="2:19 16384:16384" s="17" customFormat="1" ht="17.149999999999999" customHeight="1" x14ac:dyDescent="0.35">
      <c r="B33" s="268"/>
      <c r="C33" s="222" t="s">
        <v>91</v>
      </c>
      <c r="D33" s="61" t="s">
        <v>89</v>
      </c>
      <c r="E33" s="142"/>
      <c r="F33" s="62" t="s">
        <v>155</v>
      </c>
      <c r="G33" s="60">
        <f>'02_Vállalkozási szerződés1'!G62+'02_Vállalkozási szerződés2 '!G63+'02_Vállalkozási szerződés3'!G63+'02_Vállalkozási szerződés4'!G63+'03_Saját beszerzés'!G30</f>
        <v>0</v>
      </c>
      <c r="H33" s="60">
        <f>'02_Vállalkozási szerződés1'!H62+'02_Vállalkozási szerződés2 '!H63+'02_Vállalkozási szerződés3'!H63+'02_Vállalkozási szerződés4'!H63+'03_Saját beszerzés'!H30</f>
        <v>0</v>
      </c>
      <c r="I33" s="60">
        <f>'02_Vállalkozási szerződés1'!I62+'02_Vállalkozási szerződés2 '!I63+'02_Vállalkozási szerződés3'!I63+'02_Vállalkozási szerződés4'!I63</f>
        <v>0</v>
      </c>
      <c r="J33" s="60">
        <f>'02_Vállalkozási szerződés1'!J62+'02_Vállalkozási szerződés2 '!J63+'02_Vállalkozási szerződés3'!J63+'02_Vállalkozási szerződés4'!J63</f>
        <v>0</v>
      </c>
      <c r="K33" s="51">
        <f t="shared" si="0"/>
        <v>0</v>
      </c>
      <c r="L33" s="256"/>
      <c r="M33" s="157">
        <f t="shared" si="3"/>
        <v>0</v>
      </c>
      <c r="N33" s="157">
        <f t="shared" si="4"/>
        <v>0</v>
      </c>
      <c r="O33" s="209"/>
      <c r="P33" s="60">
        <v>11325</v>
      </c>
      <c r="Q33" s="53">
        <v>14878</v>
      </c>
      <c r="S33" s="17">
        <f t="shared" si="2"/>
        <v>0</v>
      </c>
    </row>
    <row r="34" spans="2:19 16384:16384" s="17" customFormat="1" ht="17.149999999999999" customHeight="1" x14ac:dyDescent="0.35">
      <c r="B34" s="268"/>
      <c r="C34" s="222"/>
      <c r="D34" s="63" t="s">
        <v>90</v>
      </c>
      <c r="E34" s="142"/>
      <c r="F34" s="62" t="s">
        <v>155</v>
      </c>
      <c r="G34" s="60">
        <f>'02_Vállalkozási szerződés1'!G63+'02_Vállalkozási szerződés2 '!G64+'02_Vállalkozási szerződés3'!G64+'02_Vállalkozási szerződés4'!G64+'03_Saját beszerzés'!G31</f>
        <v>0</v>
      </c>
      <c r="H34" s="60">
        <f>'02_Vállalkozási szerződés1'!H63+'02_Vállalkozási szerződés2 '!H64+'02_Vállalkozási szerződés3'!H64+'02_Vállalkozási szerződés4'!H64+'03_Saját beszerzés'!H31</f>
        <v>0</v>
      </c>
      <c r="I34" s="60">
        <f>'02_Vállalkozási szerződés1'!I63+'02_Vállalkozási szerződés2 '!I64+'02_Vállalkozási szerződés3'!I64+'02_Vállalkozási szerződés4'!I64</f>
        <v>0</v>
      </c>
      <c r="J34" s="60">
        <f>'02_Vállalkozási szerződés1'!J63+'02_Vállalkozási szerződés2 '!J64+'02_Vállalkozási szerződés3'!J64+'02_Vállalkozási szerződés4'!J64</f>
        <v>0</v>
      </c>
      <c r="K34" s="51">
        <f t="shared" si="0"/>
        <v>0</v>
      </c>
      <c r="L34" s="256"/>
      <c r="M34" s="157">
        <f t="shared" si="3"/>
        <v>0</v>
      </c>
      <c r="N34" s="157">
        <f t="shared" si="4"/>
        <v>0</v>
      </c>
      <c r="O34" s="209"/>
      <c r="P34" s="60">
        <v>13716</v>
      </c>
      <c r="Q34" s="53">
        <v>14878</v>
      </c>
      <c r="S34" s="17">
        <f t="shared" si="2"/>
        <v>0</v>
      </c>
    </row>
    <row r="35" spans="2:19 16384:16384" s="17" customFormat="1" ht="17.149999999999999" customHeight="1" x14ac:dyDescent="0.35">
      <c r="B35" s="268"/>
      <c r="C35" s="222" t="s">
        <v>92</v>
      </c>
      <c r="D35" s="61" t="s">
        <v>89</v>
      </c>
      <c r="E35" s="142"/>
      <c r="F35" s="62" t="s">
        <v>155</v>
      </c>
      <c r="G35" s="60">
        <f>'02_Vállalkozási szerződés1'!G64+'02_Vállalkozási szerződés2 '!G65+'02_Vállalkozási szerződés3'!G65+'02_Vállalkozási szerződés4'!G65+'03_Saját beszerzés'!G32</f>
        <v>0</v>
      </c>
      <c r="H35" s="60">
        <f>'02_Vállalkozási szerződés1'!H64+'02_Vállalkozási szerződés2 '!H65+'02_Vállalkozási szerződés3'!H65+'02_Vállalkozási szerződés4'!H65+'03_Saját beszerzés'!H32</f>
        <v>0</v>
      </c>
      <c r="I35" s="60">
        <f>'02_Vállalkozási szerződés1'!I64+'02_Vállalkozási szerződés2 '!I65+'02_Vállalkozási szerződés3'!I65+'02_Vállalkozási szerződés4'!I65</f>
        <v>0</v>
      </c>
      <c r="J35" s="60">
        <f>'02_Vállalkozási szerződés1'!J64+'02_Vállalkozási szerződés2 '!J65+'02_Vállalkozási szerződés3'!J65+'02_Vállalkozási szerződés4'!J65</f>
        <v>0</v>
      </c>
      <c r="K35" s="51">
        <f t="shared" si="0"/>
        <v>0</v>
      </c>
      <c r="L35" s="256"/>
      <c r="M35" s="157">
        <f t="shared" si="3"/>
        <v>0</v>
      </c>
      <c r="N35" s="157">
        <f t="shared" si="4"/>
        <v>0</v>
      </c>
      <c r="O35" s="209"/>
      <c r="P35" s="60">
        <v>10636</v>
      </c>
      <c r="Q35" s="53">
        <v>14878</v>
      </c>
      <c r="S35" s="17">
        <f t="shared" si="2"/>
        <v>0</v>
      </c>
    </row>
    <row r="36" spans="2:19 16384:16384" s="17" customFormat="1" ht="17.149999999999999" customHeight="1" x14ac:dyDescent="0.35">
      <c r="B36" s="268"/>
      <c r="C36" s="222"/>
      <c r="D36" s="63" t="s">
        <v>90</v>
      </c>
      <c r="E36" s="142"/>
      <c r="F36" s="62" t="s">
        <v>155</v>
      </c>
      <c r="G36" s="60">
        <f>'02_Vállalkozási szerződés1'!G65+'02_Vállalkozási szerződés2 '!G66+'02_Vállalkozási szerződés3'!G66+'02_Vállalkozási szerződés4'!G66+'03_Saját beszerzés'!G33</f>
        <v>0</v>
      </c>
      <c r="H36" s="60">
        <f>'02_Vállalkozási szerződés1'!H65+'02_Vállalkozási szerződés2 '!H66+'02_Vállalkozási szerződés3'!H66+'02_Vállalkozási szerződés4'!H66+'03_Saját beszerzés'!H33</f>
        <v>0</v>
      </c>
      <c r="I36" s="60">
        <f>'02_Vállalkozási szerződés1'!I65+'02_Vállalkozási szerződés2 '!I66+'02_Vállalkozási szerződés3'!I66+'02_Vállalkozási szerződés4'!I66</f>
        <v>0</v>
      </c>
      <c r="J36" s="60">
        <f>'02_Vállalkozási szerződés1'!J65+'02_Vállalkozási szerződés2 '!J66+'02_Vállalkozási szerződés3'!J66+'02_Vállalkozási szerződés4'!J66</f>
        <v>0</v>
      </c>
      <c r="K36" s="51">
        <f t="shared" si="0"/>
        <v>0</v>
      </c>
      <c r="L36" s="256"/>
      <c r="M36" s="157">
        <f t="shared" si="3"/>
        <v>0</v>
      </c>
      <c r="N36" s="157">
        <f t="shared" si="4"/>
        <v>0</v>
      </c>
      <c r="O36" s="209"/>
      <c r="P36" s="60">
        <v>13037</v>
      </c>
      <c r="Q36" s="53">
        <v>14878</v>
      </c>
      <c r="S36" s="17">
        <f t="shared" si="2"/>
        <v>0</v>
      </c>
    </row>
    <row r="37" spans="2:19 16384:16384" s="17" customFormat="1" ht="17.149999999999999" customHeight="1" x14ac:dyDescent="0.35">
      <c r="B37" s="268"/>
      <c r="C37" s="222" t="s">
        <v>95</v>
      </c>
      <c r="D37" s="61" t="s">
        <v>93</v>
      </c>
      <c r="E37" s="142"/>
      <c r="F37" s="62" t="s">
        <v>155</v>
      </c>
      <c r="G37" s="60">
        <f>'02_Vállalkozási szerződés1'!G66+'02_Vállalkozási szerződés2 '!G67+'02_Vállalkozási szerződés3'!G67+'02_Vállalkozási szerződés4'!G67+'03_Saját beszerzés'!G34</f>
        <v>0</v>
      </c>
      <c r="H37" s="60">
        <f>'02_Vállalkozási szerződés1'!H66+'02_Vállalkozási szerződés2 '!H67+'02_Vállalkozási szerződés3'!H67+'02_Vállalkozási szerződés4'!H67+'03_Saját beszerzés'!H34</f>
        <v>0</v>
      </c>
      <c r="I37" s="60">
        <f>'02_Vállalkozási szerződés1'!I66+'02_Vállalkozási szerződés2 '!I67+'02_Vállalkozási szerződés3'!I67+'02_Vállalkozási szerződés4'!I67</f>
        <v>0</v>
      </c>
      <c r="J37" s="60">
        <f>'02_Vállalkozási szerződés1'!J66+'02_Vállalkozási szerződés2 '!J67+'02_Vállalkozási szerződés3'!J67+'02_Vállalkozási szerződés4'!J67</f>
        <v>0</v>
      </c>
      <c r="K37" s="51">
        <f t="shared" si="0"/>
        <v>0</v>
      </c>
      <c r="L37" s="256"/>
      <c r="M37" s="157">
        <f t="shared" si="3"/>
        <v>0</v>
      </c>
      <c r="N37" s="157">
        <f t="shared" si="4"/>
        <v>0</v>
      </c>
      <c r="O37" s="209"/>
      <c r="P37" s="60">
        <v>18382</v>
      </c>
      <c r="Q37" s="53">
        <v>6972</v>
      </c>
      <c r="S37" s="17">
        <f t="shared" si="2"/>
        <v>0</v>
      </c>
    </row>
    <row r="38" spans="2:19 16384:16384" s="17" customFormat="1" ht="17.149999999999999" customHeight="1" x14ac:dyDescent="0.35">
      <c r="B38" s="268"/>
      <c r="C38" s="222"/>
      <c r="D38" s="63" t="s">
        <v>94</v>
      </c>
      <c r="E38" s="142"/>
      <c r="F38" s="62" t="s">
        <v>155</v>
      </c>
      <c r="G38" s="60">
        <f>'02_Vállalkozási szerződés1'!G67+'02_Vállalkozási szerződés2 '!G68+'02_Vállalkozási szerződés3'!G68+'02_Vállalkozási szerződés4'!G68+'03_Saját beszerzés'!G35</f>
        <v>0</v>
      </c>
      <c r="H38" s="60">
        <f>'02_Vállalkozási szerződés1'!H67+'02_Vállalkozási szerződés2 '!H68+'02_Vállalkozási szerződés3'!H68+'02_Vállalkozási szerződés4'!H68+'03_Saját beszerzés'!H35</f>
        <v>0</v>
      </c>
      <c r="I38" s="60">
        <f>'02_Vállalkozási szerződés1'!I67+'02_Vállalkozási szerződés2 '!I68+'02_Vállalkozási szerződés3'!I68+'02_Vállalkozási szerződés4'!I68</f>
        <v>0</v>
      </c>
      <c r="J38" s="60">
        <f>'02_Vállalkozási szerződés1'!J67+'02_Vállalkozási szerződés2 '!J68+'02_Vállalkozási szerződés3'!J68+'02_Vállalkozási szerződés4'!J68</f>
        <v>0</v>
      </c>
      <c r="K38" s="51">
        <f t="shared" si="0"/>
        <v>0</v>
      </c>
      <c r="L38" s="256"/>
      <c r="M38" s="157">
        <f t="shared" si="3"/>
        <v>0</v>
      </c>
      <c r="N38" s="157">
        <f t="shared" si="4"/>
        <v>0</v>
      </c>
      <c r="O38" s="209"/>
      <c r="P38" s="60">
        <v>26256</v>
      </c>
      <c r="Q38" s="53">
        <v>6972</v>
      </c>
      <c r="S38" s="17">
        <f t="shared" si="2"/>
        <v>0</v>
      </c>
    </row>
    <row r="39" spans="2:19 16384:16384" s="17" customFormat="1" ht="17.149999999999999" customHeight="1" x14ac:dyDescent="0.35">
      <c r="B39" s="268"/>
      <c r="C39" s="293" t="s">
        <v>96</v>
      </c>
      <c r="D39" s="61" t="s">
        <v>77</v>
      </c>
      <c r="E39" s="142"/>
      <c r="F39" s="62" t="s">
        <v>155</v>
      </c>
      <c r="G39" s="60">
        <f>'02_Vállalkozási szerződés1'!G68+'02_Vállalkozási szerződés2 '!G69+'02_Vállalkozási szerződés3'!G69+'02_Vállalkozási szerződés4'!G69+'03_Saját beszerzés'!G36</f>
        <v>0</v>
      </c>
      <c r="H39" s="60">
        <f>'02_Vállalkozási szerződés1'!H68+'02_Vállalkozási szerződés2 '!H69+'02_Vállalkozási szerződés3'!H69+'02_Vállalkozási szerződés4'!H69+'03_Saját beszerzés'!H36</f>
        <v>0</v>
      </c>
      <c r="I39" s="60">
        <f>'02_Vállalkozási szerződés1'!I68+'02_Vállalkozási szerződés2 '!I69+'02_Vállalkozási szerződés3'!I69+'02_Vállalkozási szerződés4'!I69</f>
        <v>0</v>
      </c>
      <c r="J39" s="60">
        <f>'02_Vállalkozási szerződés1'!J68+'02_Vállalkozási szerződés2 '!J69+'02_Vállalkozási szerződés3'!J69+'02_Vállalkozási szerződés4'!J69</f>
        <v>0</v>
      </c>
      <c r="K39" s="51">
        <f t="shared" si="0"/>
        <v>0</v>
      </c>
      <c r="L39" s="256"/>
      <c r="M39" s="157">
        <f t="shared" si="3"/>
        <v>0</v>
      </c>
      <c r="N39" s="157">
        <f t="shared" si="4"/>
        <v>0</v>
      </c>
      <c r="O39" s="209"/>
      <c r="P39" s="60">
        <v>24274</v>
      </c>
      <c r="Q39" s="72">
        <v>23813</v>
      </c>
      <c r="S39" s="17">
        <f t="shared" si="2"/>
        <v>0</v>
      </c>
    </row>
    <row r="40" spans="2:19 16384:16384" s="17" customFormat="1" ht="17.149999999999999" customHeight="1" x14ac:dyDescent="0.35">
      <c r="B40" s="268"/>
      <c r="C40" s="293"/>
      <c r="D40" s="63" t="s">
        <v>78</v>
      </c>
      <c r="E40" s="142"/>
      <c r="F40" s="62" t="s">
        <v>155</v>
      </c>
      <c r="G40" s="60">
        <f>'02_Vállalkozási szerződés1'!G69+'02_Vállalkozási szerződés2 '!G70+'02_Vállalkozási szerződés3'!G70+'02_Vállalkozási szerződés4'!G70+'03_Saját beszerzés'!G37</f>
        <v>0</v>
      </c>
      <c r="H40" s="60">
        <f>'02_Vállalkozási szerződés1'!H69+'02_Vállalkozási szerződés2 '!H70+'02_Vállalkozási szerződés3'!H70+'02_Vállalkozási szerződés4'!H70+'03_Saját beszerzés'!H37</f>
        <v>0</v>
      </c>
      <c r="I40" s="60">
        <f>'02_Vállalkozási szerződés1'!I69+'02_Vállalkozási szerződés2 '!I70+'02_Vállalkozási szerződés3'!I70+'02_Vállalkozási szerződés4'!I70</f>
        <v>0</v>
      </c>
      <c r="J40" s="60">
        <f>'02_Vállalkozási szerződés1'!J69+'02_Vállalkozási szerződés2 '!J70+'02_Vállalkozási szerződés3'!J70+'02_Vállalkozási szerződés4'!J70</f>
        <v>0</v>
      </c>
      <c r="K40" s="51">
        <f t="shared" si="0"/>
        <v>0</v>
      </c>
      <c r="L40" s="256"/>
      <c r="M40" s="157">
        <f t="shared" si="3"/>
        <v>0</v>
      </c>
      <c r="N40" s="157">
        <f t="shared" si="4"/>
        <v>0</v>
      </c>
      <c r="O40" s="209"/>
      <c r="P40" s="60">
        <v>25984</v>
      </c>
      <c r="Q40" s="72">
        <v>23813</v>
      </c>
      <c r="S40" s="17">
        <f t="shared" si="2"/>
        <v>0</v>
      </c>
    </row>
    <row r="41" spans="2:19 16384:16384" s="17" customFormat="1" ht="17.149999999999999" customHeight="1" x14ac:dyDescent="0.35">
      <c r="B41" s="268"/>
      <c r="C41" s="293"/>
      <c r="D41" s="63" t="s">
        <v>79</v>
      </c>
      <c r="E41" s="142"/>
      <c r="F41" s="62" t="s">
        <v>155</v>
      </c>
      <c r="G41" s="60">
        <f>'02_Vállalkozási szerződés1'!G70+'02_Vállalkozási szerződés2 '!G71+'02_Vállalkozási szerződés3'!G71+'02_Vállalkozási szerződés4'!G71+'03_Saját beszerzés'!G38</f>
        <v>0</v>
      </c>
      <c r="H41" s="60">
        <f>'02_Vállalkozási szerződés1'!H70+'02_Vállalkozási szerződés2 '!H71+'02_Vállalkozási szerződés3'!H71+'02_Vállalkozási szerződés4'!H71+'03_Saját beszerzés'!H38</f>
        <v>0</v>
      </c>
      <c r="I41" s="60">
        <f>'02_Vállalkozási szerződés1'!I70+'02_Vállalkozási szerződés2 '!I71+'02_Vállalkozási szerződés3'!I71+'02_Vállalkozási szerződés4'!I71</f>
        <v>0</v>
      </c>
      <c r="J41" s="60">
        <f>'02_Vállalkozási szerződés1'!J70+'02_Vállalkozási szerződés2 '!J71+'02_Vállalkozási szerződés3'!J71+'02_Vállalkozási szerződés4'!J71</f>
        <v>0</v>
      </c>
      <c r="K41" s="51">
        <f t="shared" si="0"/>
        <v>0</v>
      </c>
      <c r="L41" s="256"/>
      <c r="M41" s="157">
        <f t="shared" si="3"/>
        <v>0</v>
      </c>
      <c r="N41" s="157">
        <f t="shared" si="4"/>
        <v>0</v>
      </c>
      <c r="O41" s="209"/>
      <c r="P41" s="60">
        <v>28075</v>
      </c>
      <c r="Q41" s="72">
        <v>23813</v>
      </c>
      <c r="S41" s="17">
        <f t="shared" si="2"/>
        <v>0</v>
      </c>
    </row>
    <row r="42" spans="2:19 16384:16384" s="17" customFormat="1" ht="17.149999999999999" customHeight="1" x14ac:dyDescent="0.35">
      <c r="B42" s="268"/>
      <c r="C42" s="293" t="s">
        <v>98</v>
      </c>
      <c r="D42" s="61" t="s">
        <v>97</v>
      </c>
      <c r="E42" s="142"/>
      <c r="F42" s="62" t="s">
        <v>155</v>
      </c>
      <c r="G42" s="60">
        <f>'02_Vállalkozási szerződés1'!G71+'02_Vállalkozási szerződés2 '!G72+'02_Vállalkozási szerződés3'!G72+'02_Vállalkozási szerződés4'!G72+'03_Saját beszerzés'!G39</f>
        <v>0</v>
      </c>
      <c r="H42" s="60">
        <f>'02_Vállalkozási szerződés1'!H71+'02_Vállalkozási szerződés2 '!H72+'02_Vállalkozási szerződés3'!H72+'02_Vállalkozási szerződés4'!H72+'03_Saját beszerzés'!H39</f>
        <v>0</v>
      </c>
      <c r="I42" s="60">
        <f>'02_Vállalkozási szerződés1'!I71+'02_Vállalkozási szerződés2 '!I72+'02_Vállalkozási szerződés3'!I72+'02_Vállalkozási szerződés4'!I72</f>
        <v>0</v>
      </c>
      <c r="J42" s="60">
        <f>'02_Vállalkozási szerződés1'!J71+'02_Vállalkozási szerződés2 '!J72+'02_Vállalkozási szerződés3'!J72+'02_Vállalkozási szerződés4'!J72</f>
        <v>0</v>
      </c>
      <c r="K42" s="51">
        <f t="shared" si="0"/>
        <v>0</v>
      </c>
      <c r="L42" s="256"/>
      <c r="M42" s="157">
        <f t="shared" si="3"/>
        <v>0</v>
      </c>
      <c r="N42" s="157">
        <f t="shared" si="4"/>
        <v>0</v>
      </c>
      <c r="O42" s="209"/>
      <c r="P42" s="60">
        <v>27558</v>
      </c>
      <c r="Q42" s="72">
        <v>35366</v>
      </c>
      <c r="S42" s="17">
        <f t="shared" si="2"/>
        <v>0</v>
      </c>
    </row>
    <row r="43" spans="2:19 16384:16384" s="17" customFormat="1" ht="17.149999999999999" customHeight="1" x14ac:dyDescent="0.35">
      <c r="B43" s="268"/>
      <c r="C43" s="293"/>
      <c r="D43" s="64" t="s">
        <v>79</v>
      </c>
      <c r="E43" s="142"/>
      <c r="F43" s="62" t="s">
        <v>155</v>
      </c>
      <c r="G43" s="60">
        <f>'02_Vállalkozási szerződés1'!G72+'02_Vállalkozási szerződés2 '!G73+'02_Vállalkozási szerződés3'!G73+'02_Vállalkozási szerződés4'!G73+'03_Saját beszerzés'!G40</f>
        <v>0</v>
      </c>
      <c r="H43" s="60">
        <f>'02_Vállalkozási szerződés1'!H72+'02_Vállalkozási szerződés2 '!H73+'02_Vállalkozási szerződés3'!H73+'02_Vállalkozási szerződés4'!H73+'03_Saját beszerzés'!H40</f>
        <v>0</v>
      </c>
      <c r="I43" s="60">
        <f>'02_Vállalkozási szerződés1'!I72+'02_Vállalkozási szerződés2 '!I73+'02_Vállalkozási szerződés3'!I73+'02_Vállalkozási szerződés4'!I73</f>
        <v>0</v>
      </c>
      <c r="J43" s="60">
        <f>'02_Vállalkozási szerződés1'!J72+'02_Vállalkozási szerződés2 '!J73+'02_Vállalkozási szerződés3'!J73+'02_Vállalkozási szerződés4'!J73</f>
        <v>0</v>
      </c>
      <c r="K43" s="51">
        <f t="shared" si="0"/>
        <v>0</v>
      </c>
      <c r="L43" s="256"/>
      <c r="M43" s="157">
        <f t="shared" si="3"/>
        <v>0</v>
      </c>
      <c r="N43" s="157">
        <f t="shared" si="4"/>
        <v>0</v>
      </c>
      <c r="O43" s="209"/>
      <c r="P43" s="60">
        <v>30411</v>
      </c>
      <c r="Q43" s="72">
        <v>35366</v>
      </c>
      <c r="S43" s="17">
        <f t="shared" si="2"/>
        <v>0</v>
      </c>
    </row>
    <row r="44" spans="2:19 16384:16384" s="17" customFormat="1" ht="18.649999999999999" customHeight="1" x14ac:dyDescent="0.35">
      <c r="B44" s="229" t="s">
        <v>163</v>
      </c>
      <c r="C44" s="294" t="s">
        <v>80</v>
      </c>
      <c r="D44" s="63" t="s">
        <v>74</v>
      </c>
      <c r="E44" s="142"/>
      <c r="F44" s="62" t="s">
        <v>155</v>
      </c>
      <c r="G44" s="60">
        <f>'02_Vállalkozási szerződés1'!G73+'02_Vállalkozási szerződés2 '!G74+'02_Vállalkozási szerződés3'!G74+'02_Vállalkozási szerződés4'!G74+'03_Saját beszerzés'!G41</f>
        <v>0</v>
      </c>
      <c r="H44" s="60">
        <f>'02_Vállalkozási szerződés1'!H73+'02_Vállalkozási szerződés2 '!H74+'02_Vállalkozási szerződés3'!H74+'02_Vállalkozási szerződés4'!H74+'03_Saját beszerzés'!H41</f>
        <v>0</v>
      </c>
      <c r="I44" s="60">
        <f>'02_Vállalkozási szerződés1'!I73+'02_Vállalkozási szerződés2 '!I74+'02_Vállalkozási szerződés3'!I74+'02_Vállalkozási szerződés4'!I74</f>
        <v>0</v>
      </c>
      <c r="J44" s="60">
        <f>'02_Vállalkozási szerződés1'!J73+'02_Vállalkozási szerződés2 '!J74+'02_Vállalkozási szerződés3'!J74+'02_Vállalkozási szerződés4'!J74</f>
        <v>0</v>
      </c>
      <c r="K44" s="51">
        <f t="shared" si="0"/>
        <v>0</v>
      </c>
      <c r="L44" s="231">
        <f>SUM(K44:K51)</f>
        <v>0</v>
      </c>
      <c r="M44" s="157">
        <f t="shared" si="3"/>
        <v>0</v>
      </c>
      <c r="N44" s="157">
        <f t="shared" si="4"/>
        <v>0</v>
      </c>
      <c r="O44" s="234">
        <f>SUM(M44:N51)</f>
        <v>0</v>
      </c>
      <c r="P44" s="60">
        <v>158836</v>
      </c>
      <c r="Q44" s="53">
        <v>51336</v>
      </c>
      <c r="S44" s="17">
        <f t="shared" si="2"/>
        <v>0</v>
      </c>
      <c r="XFD44" s="302">
        <f>SUM(M44:N47)</f>
        <v>0</v>
      </c>
    </row>
    <row r="45" spans="2:19 16384:16384" s="17" customFormat="1" ht="17.149999999999999" customHeight="1" x14ac:dyDescent="0.35">
      <c r="B45" s="230"/>
      <c r="C45" s="294"/>
      <c r="D45" s="63" t="s">
        <v>75</v>
      </c>
      <c r="E45" s="142"/>
      <c r="F45" s="62" t="s">
        <v>155</v>
      </c>
      <c r="G45" s="60">
        <f>'02_Vállalkozási szerződés1'!G74+'02_Vállalkozási szerződés2 '!G75+'02_Vállalkozási szerződés3'!G75+'02_Vállalkozási szerződés4'!G75+'03_Saját beszerzés'!G42</f>
        <v>0</v>
      </c>
      <c r="H45" s="60">
        <f>'02_Vállalkozási szerződés1'!H74+'02_Vállalkozási szerződés2 '!H75+'02_Vállalkozási szerződés3'!H75+'02_Vállalkozási szerződés4'!H75+'03_Saját beszerzés'!H42</f>
        <v>0</v>
      </c>
      <c r="I45" s="60">
        <f>'02_Vállalkozási szerződés1'!I74+'02_Vállalkozási szerződés2 '!I75+'02_Vállalkozási szerződés3'!I75+'02_Vállalkozási szerződés4'!I75</f>
        <v>0</v>
      </c>
      <c r="J45" s="60">
        <f>'02_Vállalkozási szerződés1'!J74+'02_Vállalkozási szerződés2 '!J75+'02_Vállalkozási szerződés3'!J75+'02_Vállalkozási szerződés4'!J75</f>
        <v>0</v>
      </c>
      <c r="K45" s="51">
        <f t="shared" si="0"/>
        <v>0</v>
      </c>
      <c r="L45" s="232"/>
      <c r="M45" s="157">
        <f t="shared" si="3"/>
        <v>0</v>
      </c>
      <c r="N45" s="157">
        <f t="shared" si="4"/>
        <v>0</v>
      </c>
      <c r="O45" s="235"/>
      <c r="P45" s="60">
        <v>222104</v>
      </c>
      <c r="Q45" s="53">
        <v>71161</v>
      </c>
      <c r="S45" s="17">
        <f t="shared" si="2"/>
        <v>0</v>
      </c>
      <c r="XFD45" s="302"/>
    </row>
    <row r="46" spans="2:19 16384:16384" s="17" customFormat="1" ht="17.149999999999999" customHeight="1" x14ac:dyDescent="0.35">
      <c r="B46" s="230"/>
      <c r="C46" s="294" t="s">
        <v>81</v>
      </c>
      <c r="D46" s="63" t="s">
        <v>74</v>
      </c>
      <c r="E46" s="142"/>
      <c r="F46" s="62" t="s">
        <v>155</v>
      </c>
      <c r="G46" s="60">
        <f>'02_Vállalkozási szerződés1'!G75+'02_Vállalkozási szerződés2 '!G76+'02_Vállalkozási szerződés3'!G76+'02_Vállalkozási szerződés4'!G76+'03_Saját beszerzés'!G43</f>
        <v>0</v>
      </c>
      <c r="H46" s="60">
        <f>'02_Vállalkozási szerződés1'!H75+'02_Vállalkozási szerződés2 '!H76+'02_Vállalkozási szerződés3'!H76+'02_Vállalkozási szerződés4'!H76+'03_Saját beszerzés'!H43</f>
        <v>0</v>
      </c>
      <c r="I46" s="60">
        <f>'02_Vállalkozási szerződés1'!I75+'02_Vállalkozási szerződés2 '!I76+'02_Vállalkozási szerződés3'!I76+'02_Vállalkozási szerződés4'!I76</f>
        <v>0</v>
      </c>
      <c r="J46" s="60">
        <f>'02_Vállalkozási szerződés1'!J75+'02_Vállalkozási szerződés2 '!J76+'02_Vállalkozási szerződés3'!J76+'02_Vállalkozási szerződés4'!J76</f>
        <v>0</v>
      </c>
      <c r="K46" s="51">
        <f t="shared" si="0"/>
        <v>0</v>
      </c>
      <c r="L46" s="232"/>
      <c r="M46" s="157">
        <f t="shared" si="3"/>
        <v>0</v>
      </c>
      <c r="N46" s="157">
        <f t="shared" si="4"/>
        <v>0</v>
      </c>
      <c r="O46" s="235"/>
      <c r="P46" s="60">
        <v>311070</v>
      </c>
      <c r="Q46" s="53">
        <v>169228</v>
      </c>
      <c r="S46" s="17">
        <f t="shared" si="2"/>
        <v>0</v>
      </c>
      <c r="XFD46" s="302"/>
    </row>
    <row r="47" spans="2:19 16384:16384" s="17" customFormat="1" ht="17.149999999999999" customHeight="1" x14ac:dyDescent="0.35">
      <c r="B47" s="230"/>
      <c r="C47" s="294"/>
      <c r="D47" s="63" t="s">
        <v>75</v>
      </c>
      <c r="E47" s="142"/>
      <c r="F47" s="62" t="s">
        <v>155</v>
      </c>
      <c r="G47" s="60">
        <f>'02_Vállalkozási szerződés1'!G76+'02_Vállalkozási szerződés2 '!G77+'02_Vállalkozási szerződés3'!G77+'02_Vállalkozási szerződés4'!G77+'03_Saját beszerzés'!G44</f>
        <v>0</v>
      </c>
      <c r="H47" s="60">
        <f>'02_Vállalkozási szerződés1'!H76+'02_Vállalkozási szerződés2 '!H77+'02_Vállalkozási szerződés3'!H77+'02_Vállalkozási szerződés4'!H77+'03_Saját beszerzés'!H44</f>
        <v>0</v>
      </c>
      <c r="I47" s="60">
        <f>'02_Vállalkozási szerződés1'!I76+'02_Vállalkozási szerződés2 '!I77+'02_Vállalkozási szerződés3'!I77+'02_Vállalkozási szerződés4'!I77</f>
        <v>0</v>
      </c>
      <c r="J47" s="60">
        <f>'02_Vállalkozási szerződés1'!J76+'02_Vállalkozási szerződés2 '!J77+'02_Vállalkozási szerződés3'!J77+'02_Vállalkozási szerződés4'!J77</f>
        <v>0</v>
      </c>
      <c r="K47" s="51">
        <f t="shared" si="0"/>
        <v>0</v>
      </c>
      <c r="L47" s="232"/>
      <c r="M47" s="157">
        <f t="shared" si="3"/>
        <v>0</v>
      </c>
      <c r="N47" s="157">
        <f t="shared" si="4"/>
        <v>0</v>
      </c>
      <c r="O47" s="235"/>
      <c r="P47" s="60">
        <v>270155</v>
      </c>
      <c r="Q47" s="53">
        <v>169228</v>
      </c>
      <c r="S47" s="17">
        <f t="shared" si="2"/>
        <v>0</v>
      </c>
      <c r="XFD47" s="302"/>
    </row>
    <row r="48" spans="2:19 16384:16384" s="17" customFormat="1" ht="17.149999999999999" customHeight="1" x14ac:dyDescent="0.35">
      <c r="B48" s="230"/>
      <c r="C48" s="214" t="s">
        <v>240</v>
      </c>
      <c r="D48" s="215"/>
      <c r="E48" s="142"/>
      <c r="F48" s="62" t="s">
        <v>155</v>
      </c>
      <c r="G48" s="60">
        <f>'02_Vállalkozási szerződés1'!G77+'02_Vállalkozási szerződés2 '!G78+'02_Vállalkozási szerződés3'!G78+'02_Vállalkozási szerződés4'!G78+'03_Saját beszerzés'!G45</f>
        <v>0</v>
      </c>
      <c r="H48" s="60">
        <f>'02_Vállalkozási szerződés1'!H77+'02_Vállalkozási szerződés2 '!H78+'02_Vállalkozási szerződés3'!H78+'02_Vállalkozási szerződés4'!H78+'03_Saját beszerzés'!H45</f>
        <v>0</v>
      </c>
      <c r="I48" s="60">
        <f>'02_Vállalkozási szerződés1'!I77+'02_Vállalkozási szerződés2 '!I78+'02_Vállalkozási szerződés3'!I78+'02_Vállalkozási szerződés4'!I78</f>
        <v>0</v>
      </c>
      <c r="J48" s="60">
        <f>'02_Vállalkozási szerződés1'!J77+'02_Vállalkozási szerződés2 '!J78+'02_Vállalkozási szerződés3'!J78+'02_Vállalkozási szerződés4'!J78</f>
        <v>0</v>
      </c>
      <c r="K48" s="51">
        <f t="shared" ref="K48:K51" si="5">IFERROR(H48+J48,)</f>
        <v>0</v>
      </c>
      <c r="L48" s="232"/>
      <c r="M48" s="157">
        <f t="shared" si="3"/>
        <v>0</v>
      </c>
      <c r="N48" s="157">
        <f t="shared" si="4"/>
        <v>0</v>
      </c>
      <c r="O48" s="235"/>
      <c r="P48" s="60">
        <v>138540</v>
      </c>
      <c r="Q48" s="53">
        <v>16840</v>
      </c>
      <c r="S48" s="17">
        <f t="shared" si="2"/>
        <v>0</v>
      </c>
      <c r="XFD48" s="302">
        <f>SUM(M48:N51)</f>
        <v>0</v>
      </c>
    </row>
    <row r="49" spans="2:20 16384:16384" s="17" customFormat="1" ht="17.149999999999999" customHeight="1" x14ac:dyDescent="0.35">
      <c r="B49" s="230"/>
      <c r="C49" s="216" t="s">
        <v>238</v>
      </c>
      <c r="D49" s="172" t="s">
        <v>74</v>
      </c>
      <c r="E49" s="142"/>
      <c r="F49" s="62" t="s">
        <v>155</v>
      </c>
      <c r="G49" s="60">
        <f>'02_Vállalkozási szerződés1'!G78+'02_Vállalkozási szerződés2 '!G79+'02_Vállalkozási szerződés3'!G79+'02_Vállalkozási szerződés4'!G79+'03_Saját beszerzés'!G46</f>
        <v>0</v>
      </c>
      <c r="H49" s="60">
        <f>'02_Vállalkozási szerződés1'!H78+'02_Vállalkozási szerződés2 '!H79+'02_Vállalkozási szerződés3'!H79+'02_Vállalkozási szerződés4'!H79+'03_Saját beszerzés'!H46</f>
        <v>0</v>
      </c>
      <c r="I49" s="60">
        <f>'02_Vállalkozási szerződés1'!I78+'02_Vállalkozási szerződés2 '!I79+'02_Vállalkozási szerződés3'!I79+'02_Vállalkozási szerződés4'!I79</f>
        <v>0</v>
      </c>
      <c r="J49" s="60">
        <f>'02_Vállalkozási szerződés1'!J78+'02_Vállalkozási szerződés2 '!J79+'02_Vállalkozási szerződés3'!J79+'02_Vállalkozási szerződés4'!J79</f>
        <v>0</v>
      </c>
      <c r="K49" s="51">
        <f t="shared" si="5"/>
        <v>0</v>
      </c>
      <c r="L49" s="232"/>
      <c r="M49" s="157">
        <f t="shared" si="3"/>
        <v>0</v>
      </c>
      <c r="N49" s="157">
        <f t="shared" si="4"/>
        <v>0</v>
      </c>
      <c r="O49" s="235"/>
      <c r="P49" s="60">
        <v>19680</v>
      </c>
      <c r="Q49" s="53">
        <v>9865</v>
      </c>
      <c r="S49" s="17">
        <f t="shared" si="2"/>
        <v>0</v>
      </c>
      <c r="XFD49" s="302"/>
    </row>
    <row r="50" spans="2:20 16384:16384" s="17" customFormat="1" ht="17.149999999999999" customHeight="1" x14ac:dyDescent="0.35">
      <c r="B50" s="230"/>
      <c r="C50" s="217"/>
      <c r="D50" s="172" t="s">
        <v>239</v>
      </c>
      <c r="E50" s="142"/>
      <c r="F50" s="62" t="s">
        <v>155</v>
      </c>
      <c r="G50" s="60">
        <f>'02_Vállalkozási szerződés1'!G79+'02_Vállalkozási szerződés2 '!G80+'02_Vállalkozási szerződés3'!G80+'02_Vállalkozási szerződés4'!G80+'03_Saját beszerzés'!G47</f>
        <v>0</v>
      </c>
      <c r="H50" s="60">
        <f>'02_Vállalkozási szerződés1'!H79+'02_Vállalkozási szerződés2 '!H80+'02_Vállalkozási szerződés3'!H80+'02_Vállalkozási szerződés4'!H80+'03_Saját beszerzés'!H47</f>
        <v>0</v>
      </c>
      <c r="I50" s="60">
        <f>'02_Vállalkozási szerződés1'!I79+'02_Vállalkozási szerződés2 '!I80+'02_Vállalkozási szerződés3'!I80+'02_Vállalkozási szerződés4'!I80</f>
        <v>0</v>
      </c>
      <c r="J50" s="60">
        <f>'02_Vállalkozási szerződés1'!J79+'02_Vállalkozási szerződés2 '!J80+'02_Vállalkozási szerződés3'!J80+'02_Vállalkozási szerződés4'!J80</f>
        <v>0</v>
      </c>
      <c r="K50" s="51">
        <f t="shared" si="5"/>
        <v>0</v>
      </c>
      <c r="L50" s="232"/>
      <c r="M50" s="157">
        <f t="shared" si="3"/>
        <v>0</v>
      </c>
      <c r="N50" s="157">
        <f t="shared" si="4"/>
        <v>0</v>
      </c>
      <c r="O50" s="235"/>
      <c r="P50" s="60">
        <v>147550</v>
      </c>
      <c r="Q50" s="53">
        <v>12465</v>
      </c>
      <c r="S50" s="17">
        <f t="shared" si="2"/>
        <v>0</v>
      </c>
      <c r="XFD50" s="302"/>
    </row>
    <row r="51" spans="2:20 16384:16384" s="17" customFormat="1" ht="17.149999999999999" customHeight="1" x14ac:dyDescent="0.35">
      <c r="B51" s="230"/>
      <c r="C51" s="218"/>
      <c r="D51" s="172" t="s">
        <v>75</v>
      </c>
      <c r="E51" s="142"/>
      <c r="F51" s="62" t="s">
        <v>155</v>
      </c>
      <c r="G51" s="60">
        <f>'02_Vállalkozási szerződés1'!G80+'02_Vállalkozási szerződés2 '!G81+'02_Vállalkozási szerződés3'!G81+'02_Vállalkozási szerződés4'!G81+'03_Saját beszerzés'!G48</f>
        <v>0</v>
      </c>
      <c r="H51" s="60">
        <f>'02_Vállalkozási szerződés1'!H80+'02_Vállalkozási szerződés2 '!H81+'02_Vállalkozási szerződés3'!H81+'02_Vállalkozási szerződés4'!H81+'03_Saját beszerzés'!H48</f>
        <v>0</v>
      </c>
      <c r="I51" s="60">
        <f>'02_Vállalkozási szerződés1'!I80+'02_Vállalkozási szerződés2 '!I81+'02_Vállalkozási szerződés3'!I81+'02_Vállalkozási szerződés4'!I81</f>
        <v>0</v>
      </c>
      <c r="J51" s="60">
        <f>'02_Vállalkozási szerződés1'!J80+'02_Vállalkozási szerződés2 '!J81+'02_Vállalkozási szerződés3'!J81+'02_Vállalkozási szerződés4'!J81</f>
        <v>0</v>
      </c>
      <c r="K51" s="51">
        <f t="shared" si="5"/>
        <v>0</v>
      </c>
      <c r="L51" s="233"/>
      <c r="M51" s="157">
        <f t="shared" si="3"/>
        <v>0</v>
      </c>
      <c r="N51" s="157">
        <f t="shared" si="4"/>
        <v>0</v>
      </c>
      <c r="O51" s="236"/>
      <c r="P51" s="60">
        <v>147550</v>
      </c>
      <c r="Q51" s="53">
        <v>12465</v>
      </c>
      <c r="S51" s="17">
        <f t="shared" si="2"/>
        <v>0</v>
      </c>
      <c r="XFD51" s="302"/>
    </row>
    <row r="52" spans="2:20 16384:16384" s="17" customFormat="1" ht="18" customHeight="1" x14ac:dyDescent="0.35">
      <c r="B52" s="268" t="s">
        <v>162</v>
      </c>
      <c r="C52" s="288" t="s">
        <v>68</v>
      </c>
      <c r="D52" s="288"/>
      <c r="E52" s="142"/>
      <c r="F52" s="62" t="s">
        <v>155</v>
      </c>
      <c r="G52" s="60">
        <f>'02_Vállalkozási szerződés1'!G81+'02_Vállalkozási szerződés2 '!G82+'02_Vállalkozási szerződés3'!G82+'02_Vállalkozási szerződés4'!G82+'03_Saját beszerzés'!G49</f>
        <v>0</v>
      </c>
      <c r="H52" s="60">
        <f>'02_Vállalkozási szerződés1'!H81+'02_Vállalkozási szerződés2 '!H82+'02_Vállalkozási szerződés3'!H82+'02_Vállalkozási szerződés4'!H82+'03_Saját beszerzés'!H49</f>
        <v>0</v>
      </c>
      <c r="I52" s="60">
        <f>'02_Vállalkozási szerződés1'!I81+'02_Vállalkozási szerződés2 '!I82+'02_Vállalkozási szerződés3'!I82+'02_Vállalkozási szerződés4'!I82</f>
        <v>0</v>
      </c>
      <c r="J52" s="60">
        <f>'02_Vállalkozási szerződés1'!J81+'02_Vállalkozási szerződés2 '!J82+'02_Vállalkozási szerződés3'!J82+'02_Vállalkozási szerződés4'!J82</f>
        <v>0</v>
      </c>
      <c r="K52" s="51">
        <f t="shared" si="0"/>
        <v>0</v>
      </c>
      <c r="L52" s="256">
        <f>SUM(K52:K53)</f>
        <v>0</v>
      </c>
      <c r="M52" s="157">
        <f t="shared" si="3"/>
        <v>0</v>
      </c>
      <c r="N52" s="157">
        <f t="shared" si="4"/>
        <v>0</v>
      </c>
      <c r="O52" s="209">
        <f>SUM(M52:N53)</f>
        <v>0</v>
      </c>
      <c r="P52" s="60">
        <v>18034</v>
      </c>
      <c r="Q52" s="53">
        <v>19050</v>
      </c>
      <c r="S52" s="17">
        <f t="shared" si="2"/>
        <v>0</v>
      </c>
    </row>
    <row r="53" spans="2:20 16384:16384" s="17" customFormat="1" ht="18" customHeight="1" x14ac:dyDescent="0.35">
      <c r="B53" s="268"/>
      <c r="C53" s="288" t="s">
        <v>102</v>
      </c>
      <c r="D53" s="288"/>
      <c r="E53" s="142"/>
      <c r="F53" s="62" t="s">
        <v>155</v>
      </c>
      <c r="G53" s="60">
        <f>'02_Vállalkozási szerződés1'!G82+'02_Vállalkozási szerződés2 '!G83+'02_Vállalkozási szerződés3'!G83+'02_Vállalkozási szerződés4'!G83+'03_Saját beszerzés'!G50</f>
        <v>0</v>
      </c>
      <c r="H53" s="60">
        <f>'02_Vállalkozási szerződés1'!H82+'02_Vállalkozási szerződés2 '!H83+'02_Vállalkozási szerződés3'!H83+'02_Vállalkozási szerződés4'!H83+'03_Saját beszerzés'!H50</f>
        <v>0</v>
      </c>
      <c r="I53" s="60">
        <f>'02_Vállalkozási szerződés1'!I82+'02_Vállalkozási szerződés2 '!I83+'02_Vállalkozási szerződés3'!I83+'02_Vállalkozási szerződés4'!I83</f>
        <v>0</v>
      </c>
      <c r="J53" s="60">
        <f>'02_Vállalkozási szerződés1'!J82+'02_Vállalkozási szerződés2 '!J83+'02_Vállalkozási szerződés3'!J83+'02_Vállalkozási szerződés4'!J83</f>
        <v>0</v>
      </c>
      <c r="K53" s="51">
        <f t="shared" si="0"/>
        <v>0</v>
      </c>
      <c r="L53" s="256"/>
      <c r="M53" s="157">
        <f t="shared" si="3"/>
        <v>0</v>
      </c>
      <c r="N53" s="157">
        <f t="shared" si="4"/>
        <v>0</v>
      </c>
      <c r="O53" s="209"/>
      <c r="P53" s="60">
        <v>19050</v>
      </c>
      <c r="Q53" s="53">
        <v>31750</v>
      </c>
      <c r="S53" s="17">
        <f t="shared" si="2"/>
        <v>0</v>
      </c>
    </row>
    <row r="54" spans="2:20 16384:16384" s="17" customFormat="1" ht="20.149999999999999" customHeight="1" x14ac:dyDescent="0.35">
      <c r="B54" s="268" t="s">
        <v>161</v>
      </c>
      <c r="C54" s="222" t="s">
        <v>101</v>
      </c>
      <c r="D54" s="222"/>
      <c r="E54" s="222" t="s">
        <v>5</v>
      </c>
      <c r="F54" s="222" t="s">
        <v>5</v>
      </c>
      <c r="G54" s="60">
        <f>'02_Vállalkozási szerződés1'!G83+'02_Vállalkozási szerződés2 '!G84+'02_Vállalkozási szerződés3'!G84+'02_Vállalkozási szerződés4'!G84+'03_Saját beszerzés'!G51</f>
        <v>0</v>
      </c>
      <c r="H54" s="60">
        <f>'02_Vállalkozási szerződés1'!H83+'02_Vállalkozási szerződés2 '!H84+'02_Vállalkozási szerződés3'!H84+'02_Vállalkozási szerződés4'!H84+'03_Saját beszerzés'!H51</f>
        <v>0</v>
      </c>
      <c r="I54" s="60">
        <f>'02_Vállalkozási szerződés1'!I83+'02_Vállalkozási szerződés2 '!I84+'02_Vállalkozási szerződés3'!I84+'02_Vállalkozási szerződés4'!I84</f>
        <v>0</v>
      </c>
      <c r="J54" s="60">
        <f>'02_Vállalkozási szerződés1'!J83+'02_Vállalkozási szerződés2 '!J84+'02_Vállalkozási szerződés3'!J84+'02_Vállalkozási szerződés4'!J84</f>
        <v>0</v>
      </c>
      <c r="K54" s="51">
        <f t="shared" si="0"/>
        <v>0</v>
      </c>
      <c r="L54" s="256">
        <f>SUM(K54:K55)</f>
        <v>0</v>
      </c>
      <c r="M54" s="157">
        <f>IF(H54&gt;P54,P54,H54)</f>
        <v>0</v>
      </c>
      <c r="N54" s="157">
        <f>IF(J54&gt;Q54,Q54,J54)</f>
        <v>0</v>
      </c>
      <c r="O54" s="209">
        <f>SUM(M54:N55)</f>
        <v>0</v>
      </c>
      <c r="P54" s="52">
        <v>6438980</v>
      </c>
      <c r="Q54" s="68">
        <v>2112867</v>
      </c>
      <c r="S54" s="17">
        <f t="shared" si="1"/>
        <v>0</v>
      </c>
      <c r="T54" s="166"/>
    </row>
    <row r="55" spans="2:20 16384:16384" s="17" customFormat="1" ht="20.149999999999999" customHeight="1" thickBot="1" x14ac:dyDescent="0.4">
      <c r="B55" s="269"/>
      <c r="C55" s="222" t="s">
        <v>66</v>
      </c>
      <c r="D55" s="222"/>
      <c r="E55" s="222" t="s">
        <v>5</v>
      </c>
      <c r="F55" s="222" t="s">
        <v>5</v>
      </c>
      <c r="G55" s="60">
        <f>'02_Vállalkozási szerződés1'!G84+'02_Vállalkozási szerződés2 '!G85+'02_Vállalkozási szerződés3'!G85+'02_Vállalkozási szerződés4'!G85+'03_Saját beszerzés'!G52</f>
        <v>0</v>
      </c>
      <c r="H55" s="60">
        <f>'02_Vállalkozási szerződés1'!H84+'02_Vállalkozási szerződés2 '!H85+'02_Vállalkozási szerződés3'!H85+'02_Vállalkozási szerződés4'!H85+'03_Saját beszerzés'!H52</f>
        <v>0</v>
      </c>
      <c r="I55" s="60">
        <f>'02_Vállalkozási szerződés1'!I84+'02_Vállalkozási szerződés2 '!I85+'02_Vállalkozási szerződés3'!I85+'02_Vállalkozási szerződés4'!I85</f>
        <v>0</v>
      </c>
      <c r="J55" s="60">
        <f>'02_Vállalkozási szerződés1'!J84+'02_Vállalkozási szerződés2 '!J85+'02_Vállalkozási szerződés3'!J85+'02_Vállalkozási szerződés4'!J85</f>
        <v>0</v>
      </c>
      <c r="K55" s="56">
        <f t="shared" si="0"/>
        <v>0</v>
      </c>
      <c r="L55" s="257"/>
      <c r="M55" s="162">
        <f>IF(H55&gt;P55,P55,H55)</f>
        <v>0</v>
      </c>
      <c r="N55" s="162">
        <f>IF(J55&gt;Q55,Q55,J55)</f>
        <v>0</v>
      </c>
      <c r="O55" s="210"/>
      <c r="P55" s="65">
        <v>1422400</v>
      </c>
      <c r="Q55" s="73">
        <v>2133600</v>
      </c>
      <c r="S55" s="17">
        <f t="shared" si="1"/>
        <v>0</v>
      </c>
    </row>
    <row r="56" spans="2:20 16384:16384" s="17" customFormat="1" ht="20.149999999999999" customHeight="1" x14ac:dyDescent="0.35">
      <c r="B56" s="251" t="s">
        <v>160</v>
      </c>
      <c r="C56" s="254" t="s">
        <v>157</v>
      </c>
      <c r="D56" s="254"/>
      <c r="E56" s="254"/>
      <c r="F56" s="254"/>
      <c r="G56" s="66"/>
      <c r="H56" s="66"/>
      <c r="I56" s="178">
        <f>+'03_Saját beszerzés'!I53</f>
        <v>0</v>
      </c>
      <c r="J56" s="178">
        <f>+'03_Saját beszerzés'!J53</f>
        <v>0</v>
      </c>
      <c r="K56" s="47">
        <f t="shared" si="0"/>
        <v>0</v>
      </c>
      <c r="L56" s="255">
        <f>SUM(K56:K58)</f>
        <v>0</v>
      </c>
      <c r="M56" s="163"/>
      <c r="N56" s="156">
        <f>IF(ISBLANK(J56),,MIN(Q56,K56))</f>
        <v>0</v>
      </c>
      <c r="O56" s="208">
        <f>SUM(M56:N58)</f>
        <v>0</v>
      </c>
      <c r="P56" s="130"/>
      <c r="Q56" s="48">
        <v>65000</v>
      </c>
      <c r="S56" s="166">
        <f>MAX(K56-N56,0)</f>
        <v>0</v>
      </c>
    </row>
    <row r="57" spans="2:20 16384:16384" s="17" customFormat="1" ht="20.149999999999999" customHeight="1" x14ac:dyDescent="0.35">
      <c r="B57" s="252"/>
      <c r="C57" s="222" t="s">
        <v>158</v>
      </c>
      <c r="D57" s="222"/>
      <c r="E57" s="222"/>
      <c r="F57" s="222"/>
      <c r="G57" s="67"/>
      <c r="H57" s="67"/>
      <c r="I57" s="60">
        <f>+'03_Saját beszerzés'!I54</f>
        <v>0</v>
      </c>
      <c r="J57" s="60">
        <f>+'03_Saját beszerzés'!J54</f>
        <v>0</v>
      </c>
      <c r="K57" s="51">
        <f t="shared" si="0"/>
        <v>0</v>
      </c>
      <c r="L57" s="256"/>
      <c r="M57" s="164"/>
      <c r="N57" s="157">
        <f>IF(ISBLANK(J57),,MIN(Q57,J57))</f>
        <v>0</v>
      </c>
      <c r="O57" s="209"/>
      <c r="P57" s="131"/>
      <c r="Q57" s="68">
        <v>140000</v>
      </c>
      <c r="S57" s="166">
        <f>MAX(K57-N57,0)</f>
        <v>0</v>
      </c>
    </row>
    <row r="58" spans="2:20 16384:16384" s="17" customFormat="1" ht="20.149999999999999" customHeight="1" thickBot="1" x14ac:dyDescent="0.4">
      <c r="B58" s="253"/>
      <c r="C58" s="227" t="s">
        <v>159</v>
      </c>
      <c r="D58" s="227"/>
      <c r="E58" s="227"/>
      <c r="F58" s="227"/>
      <c r="G58" s="69"/>
      <c r="H58" s="69"/>
      <c r="I58" s="179">
        <f>+'03_Saját beszerzés'!I55</f>
        <v>0</v>
      </c>
      <c r="J58" s="179">
        <f>+'03_Saját beszerzés'!J55</f>
        <v>0</v>
      </c>
      <c r="K58" s="56">
        <f t="shared" si="0"/>
        <v>0</v>
      </c>
      <c r="L58" s="257"/>
      <c r="M58" s="165"/>
      <c r="N58" s="162">
        <f>IF(ISBLANK(J58),,MIN(J58,Q58-N56-N57))</f>
        <v>0</v>
      </c>
      <c r="O58" s="210"/>
      <c r="P58" s="132"/>
      <c r="Q58" s="57">
        <v>300000</v>
      </c>
      <c r="S58" s="166">
        <f>MAX(K58-N58,0)</f>
        <v>0</v>
      </c>
    </row>
    <row r="59" spans="2:20 16384:16384" s="22" customFormat="1" ht="20.5" customHeight="1" x14ac:dyDescent="0.35">
      <c r="B59" s="258" t="s">
        <v>116</v>
      </c>
      <c r="C59" s="259"/>
      <c r="D59" s="259"/>
      <c r="E59" s="259"/>
      <c r="F59" s="259"/>
      <c r="G59" s="259"/>
      <c r="H59" s="259"/>
      <c r="I59" s="259"/>
      <c r="J59" s="260"/>
      <c r="K59" s="261">
        <f>O56+O15+O12</f>
        <v>0</v>
      </c>
      <c r="L59" s="262"/>
      <c r="M59" s="20"/>
      <c r="N59" s="21"/>
      <c r="O59" s="21"/>
      <c r="P59" s="240"/>
      <c r="Q59" s="240"/>
    </row>
    <row r="60" spans="2:20 16384:16384" s="22" customFormat="1" ht="20.5" customHeight="1" x14ac:dyDescent="0.35">
      <c r="B60" s="273" t="s">
        <v>248</v>
      </c>
      <c r="C60" s="299"/>
      <c r="D60" s="300"/>
      <c r="E60" s="300"/>
      <c r="F60" s="300"/>
      <c r="G60" s="300"/>
      <c r="H60" s="301"/>
      <c r="I60" s="247" t="s">
        <v>10</v>
      </c>
      <c r="J60" s="247"/>
      <c r="K60" s="246" t="s">
        <v>11</v>
      </c>
      <c r="L60" s="246"/>
      <c r="M60" s="21"/>
      <c r="N60" s="21"/>
      <c r="O60" s="21"/>
      <c r="P60" s="241"/>
      <c r="Q60" s="241"/>
    </row>
    <row r="61" spans="2:20 16384:16384" s="17" customFormat="1" ht="20.5" customHeight="1" x14ac:dyDescent="0.35">
      <c r="B61" s="273"/>
      <c r="C61" s="296" t="s">
        <v>249</v>
      </c>
      <c r="D61" s="297"/>
      <c r="E61" s="297"/>
      <c r="F61" s="297"/>
      <c r="G61" s="297"/>
      <c r="H61" s="298"/>
      <c r="I61" s="267">
        <f>'02_Vállalkozási szerződés1'!I87+'02_Vállalkozási szerződés2 '!I88+'02_Vállalkozási szerződés3'!I88+'02_Vállalkozási szerződés4'!I88+'03_Saját beszerzés'!I58</f>
        <v>0</v>
      </c>
      <c r="J61" s="267"/>
      <c r="K61" s="263">
        <f>'02_Vállalkozási szerződés1'!K87+'02_Vállalkozási szerződés2 '!K88+'02_Vállalkozási szerződés3'!K88+'02_Vállalkozási szerződés4'!K88+'03_Saját beszerzés'!K58</f>
        <v>0</v>
      </c>
      <c r="L61" s="263"/>
      <c r="M61" s="23" t="str">
        <f>+IFERROR(H61/E61,"")</f>
        <v/>
      </c>
      <c r="N61" s="23"/>
      <c r="O61" s="23"/>
      <c r="P61" s="241"/>
      <c r="Q61" s="241"/>
    </row>
    <row r="62" spans="2:20 16384:16384" s="17" customFormat="1" ht="20.5" customHeight="1" x14ac:dyDescent="0.35">
      <c r="B62" s="273"/>
      <c r="C62" s="295" t="s">
        <v>250</v>
      </c>
      <c r="D62" s="295"/>
      <c r="E62" s="295"/>
      <c r="F62" s="295"/>
      <c r="G62" s="295"/>
      <c r="H62" s="295"/>
      <c r="I62" s="295"/>
      <c r="J62" s="295"/>
      <c r="K62" s="263">
        <f>SUM(S12:S58)</f>
        <v>0</v>
      </c>
      <c r="L62" s="263"/>
      <c r="M62" s="23"/>
      <c r="N62" s="23"/>
      <c r="O62" s="23"/>
      <c r="P62" s="241"/>
      <c r="Q62" s="241"/>
    </row>
    <row r="63" spans="2:20 16384:16384" s="17" customFormat="1" ht="20.5" customHeight="1" x14ac:dyDescent="0.35">
      <c r="B63" s="273"/>
      <c r="C63" s="272" t="s">
        <v>234</v>
      </c>
      <c r="D63" s="272"/>
      <c r="E63" s="272"/>
      <c r="F63" s="272"/>
      <c r="G63" s="272"/>
      <c r="H63" s="272"/>
      <c r="I63" s="272"/>
      <c r="J63" s="272"/>
      <c r="K63" s="287">
        <f>+K62+K61</f>
        <v>0</v>
      </c>
      <c r="L63" s="287"/>
      <c r="M63" s="23"/>
      <c r="N63" s="23"/>
      <c r="O63" s="23"/>
      <c r="P63" s="241"/>
      <c r="Q63" s="241"/>
    </row>
    <row r="64" spans="2:20 16384:16384" s="22" customFormat="1" ht="21.65" customHeight="1" x14ac:dyDescent="0.35">
      <c r="B64" s="264" t="s">
        <v>110</v>
      </c>
      <c r="C64" s="265"/>
      <c r="D64" s="265"/>
      <c r="E64" s="265"/>
      <c r="F64" s="265"/>
      <c r="G64" s="265"/>
      <c r="H64" s="265"/>
      <c r="I64" s="265"/>
      <c r="J64" s="266"/>
      <c r="K64" s="270">
        <f>+K59+K63</f>
        <v>0</v>
      </c>
      <c r="L64" s="271"/>
      <c r="M64" s="20"/>
      <c r="N64" s="21"/>
      <c r="O64" s="21"/>
      <c r="P64" s="241"/>
      <c r="Q64" s="241"/>
    </row>
    <row r="65" spans="2:17" s="17" customFormat="1" ht="13" customHeight="1" x14ac:dyDescent="0.35">
      <c r="B65" s="24"/>
      <c r="C65" s="24"/>
      <c r="D65" s="24"/>
      <c r="E65" s="24"/>
      <c r="F65" s="24"/>
      <c r="G65" s="24"/>
      <c r="H65" s="24"/>
      <c r="I65" s="24"/>
      <c r="J65" s="24"/>
      <c r="K65" s="24"/>
      <c r="L65" s="24"/>
      <c r="M65" s="24"/>
      <c r="N65" s="24"/>
      <c r="O65" s="24"/>
      <c r="P65" s="25"/>
      <c r="Q65" s="25"/>
    </row>
    <row r="66" spans="2:17" s="17" customFormat="1" ht="18.5" hidden="1" x14ac:dyDescent="0.45">
      <c r="B66" s="276" t="s">
        <v>0</v>
      </c>
      <c r="C66" s="277"/>
      <c r="D66" s="277"/>
      <c r="E66" s="277"/>
      <c r="F66" s="277"/>
      <c r="G66" s="277"/>
      <c r="H66" s="277"/>
      <c r="I66" s="277"/>
      <c r="J66" s="277"/>
      <c r="K66" s="277"/>
      <c r="L66" s="277"/>
      <c r="M66" s="277"/>
      <c r="N66" s="278"/>
      <c r="O66" s="151"/>
      <c r="P66" s="25"/>
      <c r="Q66" s="25"/>
    </row>
    <row r="67" spans="2:17" s="17" customFormat="1" ht="27.75" customHeight="1" x14ac:dyDescent="0.35">
      <c r="B67" s="248" t="s">
        <v>20</v>
      </c>
      <c r="C67" s="249"/>
      <c r="D67" s="249"/>
      <c r="E67" s="249"/>
      <c r="F67" s="249"/>
      <c r="G67" s="249"/>
      <c r="H67" s="249"/>
      <c r="I67" s="249"/>
      <c r="J67" s="249"/>
      <c r="K67" s="249"/>
      <c r="L67" s="249"/>
      <c r="M67" s="249"/>
      <c r="N67" s="250"/>
      <c r="O67" s="152"/>
      <c r="P67" s="25"/>
      <c r="Q67" s="25"/>
    </row>
    <row r="68" spans="2:17" s="17" customFormat="1" ht="28.5" customHeight="1" x14ac:dyDescent="0.35">
      <c r="B68" s="248" t="s">
        <v>201</v>
      </c>
      <c r="C68" s="280"/>
      <c r="D68" s="280"/>
      <c r="E68" s="280"/>
      <c r="F68" s="280"/>
      <c r="G68" s="280"/>
      <c r="H68" s="280"/>
      <c r="I68" s="280"/>
      <c r="J68" s="280"/>
      <c r="K68" s="280"/>
      <c r="L68" s="280"/>
      <c r="M68" s="281"/>
      <c r="N68" s="112"/>
      <c r="O68" s="152"/>
      <c r="P68" s="25"/>
      <c r="Q68" s="25"/>
    </row>
    <row r="69" spans="2:17" s="17" customFormat="1" ht="21" customHeight="1" x14ac:dyDescent="0.35">
      <c r="B69" s="248" t="s">
        <v>117</v>
      </c>
      <c r="C69" s="280"/>
      <c r="D69" s="280"/>
      <c r="E69" s="280"/>
      <c r="F69" s="280"/>
      <c r="G69" s="280"/>
      <c r="H69" s="280"/>
      <c r="I69" s="280"/>
      <c r="J69" s="280"/>
      <c r="K69" s="280"/>
      <c r="L69" s="280"/>
      <c r="M69" s="281"/>
      <c r="N69" s="112"/>
      <c r="O69" s="152"/>
      <c r="P69" s="25"/>
      <c r="Q69" s="25"/>
    </row>
    <row r="70" spans="2:17" s="17" customFormat="1" ht="45.65" customHeight="1" x14ac:dyDescent="0.35">
      <c r="B70" s="282" t="s">
        <v>118</v>
      </c>
      <c r="C70" s="280"/>
      <c r="D70" s="280"/>
      <c r="E70" s="280"/>
      <c r="F70" s="280"/>
      <c r="G70" s="280"/>
      <c r="H70" s="280"/>
      <c r="I70" s="280"/>
      <c r="J70" s="280"/>
      <c r="K70" s="280"/>
      <c r="L70" s="280"/>
      <c r="M70" s="281"/>
      <c r="N70" s="112"/>
      <c r="O70" s="152"/>
      <c r="P70" s="25"/>
      <c r="Q70" s="25"/>
    </row>
    <row r="71" spans="2:17" s="17" customFormat="1" ht="25" customHeight="1" x14ac:dyDescent="0.35">
      <c r="B71" s="282" t="s">
        <v>119</v>
      </c>
      <c r="C71" s="280"/>
      <c r="D71" s="280"/>
      <c r="E71" s="280"/>
      <c r="F71" s="280"/>
      <c r="G71" s="280"/>
      <c r="H71" s="280"/>
      <c r="I71" s="280"/>
      <c r="J71" s="280"/>
      <c r="K71" s="280"/>
      <c r="L71" s="280"/>
      <c r="M71" s="281"/>
      <c r="N71" s="112"/>
      <c r="O71" s="152"/>
      <c r="P71" s="25"/>
      <c r="Q71" s="25"/>
    </row>
    <row r="72" spans="2:17" s="17" customFormat="1" ht="45.65" customHeight="1" x14ac:dyDescent="0.35">
      <c r="B72" s="282" t="s">
        <v>120</v>
      </c>
      <c r="C72" s="280"/>
      <c r="D72" s="280"/>
      <c r="E72" s="280"/>
      <c r="F72" s="280"/>
      <c r="G72" s="280"/>
      <c r="H72" s="280"/>
      <c r="I72" s="280"/>
      <c r="J72" s="280"/>
      <c r="K72" s="280"/>
      <c r="L72" s="280"/>
      <c r="M72" s="281"/>
      <c r="N72" s="112"/>
      <c r="O72" s="152"/>
      <c r="P72" s="25"/>
      <c r="Q72" s="25"/>
    </row>
    <row r="73" spans="2:17" s="17" customFormat="1" ht="35.5" customHeight="1" x14ac:dyDescent="0.35">
      <c r="B73" s="248" t="s">
        <v>111</v>
      </c>
      <c r="C73" s="280"/>
      <c r="D73" s="280"/>
      <c r="E73" s="280"/>
      <c r="F73" s="280"/>
      <c r="G73" s="280"/>
      <c r="H73" s="280"/>
      <c r="I73" s="280"/>
      <c r="J73" s="280"/>
      <c r="K73" s="280"/>
      <c r="L73" s="280"/>
      <c r="M73" s="281"/>
      <c r="N73" s="112"/>
      <c r="O73" s="152"/>
      <c r="P73" s="25"/>
      <c r="Q73" s="25"/>
    </row>
    <row r="74" spans="2:17" s="17" customFormat="1" ht="27.65" customHeight="1" x14ac:dyDescent="0.3">
      <c r="B74" s="26" t="s">
        <v>1</v>
      </c>
      <c r="C74" s="286"/>
      <c r="D74" s="286"/>
      <c r="E74" s="27"/>
      <c r="F74" s="27"/>
      <c r="G74" s="27"/>
      <c r="H74" s="25"/>
      <c r="I74" s="25"/>
      <c r="J74" s="25"/>
      <c r="K74" s="25"/>
      <c r="L74" s="25"/>
      <c r="M74" s="25"/>
      <c r="N74" s="28"/>
      <c r="O74" s="28"/>
      <c r="P74" s="28"/>
      <c r="Q74" s="28"/>
    </row>
    <row r="75" spans="2:17" s="17" customFormat="1" ht="13" x14ac:dyDescent="0.35">
      <c r="B75" s="27"/>
      <c r="C75" s="25"/>
      <c r="D75" s="25"/>
      <c r="E75" s="25"/>
      <c r="F75" s="28"/>
      <c r="J75" s="25"/>
      <c r="K75" s="29"/>
      <c r="L75" s="29"/>
      <c r="M75" s="29"/>
      <c r="N75" s="29"/>
      <c r="O75" s="33"/>
      <c r="P75" s="30"/>
      <c r="Q75" s="28"/>
    </row>
    <row r="76" spans="2:17" s="17" customFormat="1" ht="14.5" x14ac:dyDescent="0.35">
      <c r="B76" s="27"/>
      <c r="C76" s="33"/>
      <c r="D76" s="25"/>
      <c r="E76" s="25"/>
      <c r="F76" s="28"/>
      <c r="J76" s="25"/>
      <c r="K76" s="283" t="str">
        <f>IF(ISBLANK(D5),"",D5)</f>
        <v/>
      </c>
      <c r="L76" s="283"/>
      <c r="M76" s="283"/>
      <c r="N76" s="283"/>
      <c r="O76" s="153"/>
      <c r="P76" s="31"/>
      <c r="Q76" s="28"/>
    </row>
    <row r="77" spans="2:17" s="17" customFormat="1" ht="13" customHeight="1" x14ac:dyDescent="0.35">
      <c r="B77" s="27"/>
      <c r="D77" s="33"/>
      <c r="E77" s="33"/>
      <c r="F77" s="28"/>
      <c r="J77" s="27"/>
      <c r="K77" s="284" t="s">
        <v>129</v>
      </c>
      <c r="L77" s="284"/>
      <c r="M77" s="284"/>
      <c r="N77" s="284"/>
      <c r="O77" s="145"/>
      <c r="P77" s="27"/>
      <c r="Q77" s="28"/>
    </row>
    <row r="78" spans="2:17" s="17" customFormat="1" ht="13" x14ac:dyDescent="0.35">
      <c r="B78" s="30"/>
      <c r="C78" s="285" t="s">
        <v>19</v>
      </c>
      <c r="D78" s="285"/>
      <c r="E78" s="285"/>
      <c r="F78" s="285"/>
      <c r="G78" s="285"/>
      <c r="H78" s="285"/>
      <c r="I78" s="285"/>
      <c r="J78" s="285"/>
      <c r="K78" s="285"/>
      <c r="L78" s="285"/>
      <c r="M78" s="285"/>
      <c r="N78" s="285"/>
      <c r="O78" s="33"/>
      <c r="P78" s="30"/>
      <c r="Q78" s="30"/>
    </row>
    <row r="79" spans="2:17" s="17" customFormat="1" ht="14.5" x14ac:dyDescent="0.35">
      <c r="C79" s="242" t="s">
        <v>108</v>
      </c>
      <c r="D79" s="242"/>
      <c r="E79" s="242"/>
      <c r="F79" s="279"/>
      <c r="G79" s="279"/>
      <c r="H79" s="279"/>
      <c r="I79" s="242" t="s">
        <v>108</v>
      </c>
      <c r="J79" s="242"/>
      <c r="K79" s="242"/>
      <c r="L79" s="279"/>
      <c r="M79" s="279"/>
      <c r="N79" s="279"/>
      <c r="O79" s="154"/>
      <c r="P79" s="12"/>
    </row>
    <row r="80" spans="2:17" s="17" customFormat="1" ht="22.5" customHeight="1" x14ac:dyDescent="0.35">
      <c r="C80" s="242" t="s">
        <v>109</v>
      </c>
      <c r="D80" s="242"/>
      <c r="E80" s="242"/>
      <c r="F80" s="274"/>
      <c r="G80" s="274"/>
      <c r="H80" s="274"/>
      <c r="I80" s="242" t="s">
        <v>109</v>
      </c>
      <c r="J80" s="242"/>
      <c r="K80" s="242"/>
      <c r="L80" s="274"/>
      <c r="M80" s="274"/>
      <c r="N80" s="274"/>
      <c r="O80" s="152"/>
      <c r="P80" s="12"/>
    </row>
    <row r="81" spans="3:16" s="17" customFormat="1" ht="22.5" customHeight="1" x14ac:dyDescent="0.35">
      <c r="C81" s="242" t="s">
        <v>107</v>
      </c>
      <c r="D81" s="242"/>
      <c r="E81" s="242"/>
      <c r="F81" s="275"/>
      <c r="G81" s="275"/>
      <c r="H81" s="275"/>
      <c r="I81" s="242" t="s">
        <v>107</v>
      </c>
      <c r="J81" s="242"/>
      <c r="K81" s="242"/>
      <c r="L81" s="275"/>
      <c r="M81" s="275"/>
      <c r="N81" s="275"/>
      <c r="O81" s="152"/>
      <c r="P81" s="12"/>
    </row>
    <row r="82" spans="3:16" ht="14.5" hidden="1" x14ac:dyDescent="0.35"/>
  </sheetData>
  <sheetProtection algorithmName="SHA-512" hashValue="yEd8ZjpQ6/pxWUSSPFauUxLEiOjUT/8ZnZqj7Ab/dHkzGQ+e3l8xv5/Ja8YBdVMBu0/eICGd9blu0VSjPdqYfA==" saltValue="ijkvrkgAh1+G9XLygvNEbw==" spinCount="100000" sheet="1" selectLockedCells="1"/>
  <protectedRanges>
    <protectedRange sqref="K14:L15 L58 K12:K13 K52:K55 P13:P15 J12:J15 J16:P16 P56:P58 M61:O63 G12:I16 G61:I63 M56:M58 G56:K58 K61:K63 M12:N14 O14 M15:O15 O58 O39:O51 K39:L51 K17:K20 G17:J55 K21:L38 O21:O38" name="Tartomány2_1"/>
    <protectedRange sqref="K14:L15 L58 K12:K13 K52:K55 P13:P15 J12:J15 J16:P16 P56:P58 M61:O63 G12:I16 G61:I63 M56:M58 G56:K58 K61:K63 M12:N14 O14 M15:O15 O58 O39:O51 K39:L51 K17:K20 G17:J55 K21:L38 O21:O38" name="Tartomány1_1"/>
    <protectedRange sqref="E19:E53" name="Tartomány2_2"/>
    <protectedRange sqref="E19:E53" name="Tartomány1_2"/>
    <protectedRange sqref="Q17:Q20 Q54:Q55" name="Tartomány2_4"/>
    <protectedRange sqref="Q17:Q20 Q54:Q55" name="Tartomány1_4"/>
    <protectedRange sqref="P17:P20 L12:L13 L17:L20 L52:L57 P54:P55 O12:O13 O52:O57" name="Tartomány2_5"/>
    <protectedRange sqref="D64 D59:D60" name="Tartomány1_5"/>
    <protectedRange sqref="P61:P63" name="Tartomány2_1_1"/>
    <protectedRange sqref="P61:P63" name="Tartomány1_1_1"/>
    <protectedRange sqref="N56:N58" name="Tartomány2_1_2"/>
    <protectedRange sqref="M17:O17 O18:O20 M18:N55" name="Tartomány2_1_2_2"/>
    <protectedRange sqref="M17:O17 O18:O20 M18:N55" name="Tartomány1_1_2_2"/>
  </protectedRanges>
  <dataConsolidate/>
  <mergeCells count="118">
    <mergeCell ref="XFD44:XFD47"/>
    <mergeCell ref="XFD48:XFD51"/>
    <mergeCell ref="N13:N14"/>
    <mergeCell ref="G1:N1"/>
    <mergeCell ref="M2:N2"/>
    <mergeCell ref="B4:G4"/>
    <mergeCell ref="B5:C5"/>
    <mergeCell ref="D5:G5"/>
    <mergeCell ref="I5:M5"/>
    <mergeCell ref="B6:C6"/>
    <mergeCell ref="D6:G6"/>
    <mergeCell ref="B7:C7"/>
    <mergeCell ref="D7:G7"/>
    <mergeCell ref="I6:M6"/>
    <mergeCell ref="I7:M7"/>
    <mergeCell ref="O5:Q6"/>
    <mergeCell ref="O7:Q8"/>
    <mergeCell ref="P10:Q10"/>
    <mergeCell ref="B12:B14"/>
    <mergeCell ref="C12:D12"/>
    <mergeCell ref="L12:L14"/>
    <mergeCell ref="C13:D13"/>
    <mergeCell ref="B10:D11"/>
    <mergeCell ref="E10:E11"/>
    <mergeCell ref="K63:L63"/>
    <mergeCell ref="C37:C38"/>
    <mergeCell ref="B52:B53"/>
    <mergeCell ref="C52:D52"/>
    <mergeCell ref="L52:L53"/>
    <mergeCell ref="C53:D53"/>
    <mergeCell ref="B15:J15"/>
    <mergeCell ref="K15:L15"/>
    <mergeCell ref="C39:C41"/>
    <mergeCell ref="C42:C43"/>
    <mergeCell ref="C44:C45"/>
    <mergeCell ref="C46:C47"/>
    <mergeCell ref="B21:B43"/>
    <mergeCell ref="C21:C23"/>
    <mergeCell ref="L21:L43"/>
    <mergeCell ref="C24:C26"/>
    <mergeCell ref="C27:C29"/>
    <mergeCell ref="C30:C32"/>
    <mergeCell ref="K62:L62"/>
    <mergeCell ref="C62:J62"/>
    <mergeCell ref="C61:H61"/>
    <mergeCell ref="C60:H60"/>
    <mergeCell ref="C33:C34"/>
    <mergeCell ref="C35:C36"/>
    <mergeCell ref="C80:E80"/>
    <mergeCell ref="F80:H80"/>
    <mergeCell ref="L80:N80"/>
    <mergeCell ref="C81:E81"/>
    <mergeCell ref="F81:H81"/>
    <mergeCell ref="L81:N81"/>
    <mergeCell ref="I80:K80"/>
    <mergeCell ref="I81:K81"/>
    <mergeCell ref="B66:N66"/>
    <mergeCell ref="C79:E79"/>
    <mergeCell ref="F79:H79"/>
    <mergeCell ref="L79:N79"/>
    <mergeCell ref="B68:M68"/>
    <mergeCell ref="B69:M69"/>
    <mergeCell ref="B70:M70"/>
    <mergeCell ref="B71:M71"/>
    <mergeCell ref="B72:M72"/>
    <mergeCell ref="B73:M73"/>
    <mergeCell ref="K76:N76"/>
    <mergeCell ref="K77:N77"/>
    <mergeCell ref="C78:N78"/>
    <mergeCell ref="C74:D74"/>
    <mergeCell ref="P59:Q64"/>
    <mergeCell ref="I79:K79"/>
    <mergeCell ref="I8:M8"/>
    <mergeCell ref="I4:N4"/>
    <mergeCell ref="K60:L60"/>
    <mergeCell ref="I60:J60"/>
    <mergeCell ref="B67:N67"/>
    <mergeCell ref="B56:B58"/>
    <mergeCell ref="C56:F56"/>
    <mergeCell ref="L56:L58"/>
    <mergeCell ref="C57:F57"/>
    <mergeCell ref="C58:F58"/>
    <mergeCell ref="B59:J59"/>
    <mergeCell ref="K59:L59"/>
    <mergeCell ref="K61:L61"/>
    <mergeCell ref="B64:J64"/>
    <mergeCell ref="I61:J61"/>
    <mergeCell ref="B54:B55"/>
    <mergeCell ref="L54:L55"/>
    <mergeCell ref="K64:L64"/>
    <mergeCell ref="C54:F54"/>
    <mergeCell ref="C55:F55"/>
    <mergeCell ref="C63:J63"/>
    <mergeCell ref="B60:B63"/>
    <mergeCell ref="M10:O10"/>
    <mergeCell ref="O12:O14"/>
    <mergeCell ref="O21:O43"/>
    <mergeCell ref="O52:O53"/>
    <mergeCell ref="O54:O55"/>
    <mergeCell ref="O56:O58"/>
    <mergeCell ref="K16:L16"/>
    <mergeCell ref="C19:C20"/>
    <mergeCell ref="C48:D48"/>
    <mergeCell ref="C49:C51"/>
    <mergeCell ref="B16:J16"/>
    <mergeCell ref="C17:F17"/>
    <mergeCell ref="C18:F18"/>
    <mergeCell ref="F10:F11"/>
    <mergeCell ref="G10:H10"/>
    <mergeCell ref="I10:J10"/>
    <mergeCell ref="C14:D14"/>
    <mergeCell ref="K10:L11"/>
    <mergeCell ref="B44:B51"/>
    <mergeCell ref="L44:L51"/>
    <mergeCell ref="O44:O51"/>
    <mergeCell ref="O17:O20"/>
    <mergeCell ref="L17:L20"/>
    <mergeCell ref="B17:B20"/>
  </mergeCells>
  <phoneticPr fontId="39" type="noConversion"/>
  <conditionalFormatting sqref="D5:G7 N5:N8 G17:J55 E19:E53">
    <cfRule type="containsBlanks" dxfId="74" priority="166">
      <formula>LEN(TRIM(D5))=0</formula>
    </cfRule>
  </conditionalFormatting>
  <conditionalFormatting sqref="I12:J14 I56:J58 C74 F80:H81">
    <cfRule type="containsBlanks" dxfId="73" priority="182">
      <formula>LEN(TRIM(C12))=0</formula>
    </cfRule>
  </conditionalFormatting>
  <conditionalFormatting sqref="I61:L61 K62:K63">
    <cfRule type="containsBlanks" dxfId="72" priority="164">
      <formula>LEN(TRIM(I61))=0</formula>
    </cfRule>
  </conditionalFormatting>
  <conditionalFormatting sqref="N12">
    <cfRule type="cellIs" dxfId="71" priority="174" operator="greaterThan">
      <formula>$Q$12</formula>
    </cfRule>
  </conditionalFormatting>
  <conditionalFormatting sqref="N13">
    <cfRule type="cellIs" dxfId="70" priority="82" operator="greaterThan">
      <formula>Q13</formula>
    </cfRule>
  </conditionalFormatting>
  <conditionalFormatting sqref="N68:N73 L80:N81">
    <cfRule type="containsBlanks" dxfId="69" priority="165">
      <formula>LEN(TRIM(L68))=0</formula>
    </cfRule>
  </conditionalFormatting>
  <conditionalFormatting sqref="N68:N73">
    <cfRule type="cellIs" dxfId="68" priority="160" operator="equal">
      <formula>"Nem"</formula>
    </cfRule>
  </conditionalFormatting>
  <conditionalFormatting sqref="O12:O14">
    <cfRule type="cellIs" dxfId="67" priority="3" operator="greaterThan">
      <formula>450000</formula>
    </cfRule>
  </conditionalFormatting>
  <conditionalFormatting sqref="O7:Q8">
    <cfRule type="containsText" dxfId="66" priority="1" operator="containsText" text="Külső árnyékolók önállóan nem támogathatók!">
      <formula>NOT(ISERROR(SEARCH("Külső árnyékolók önállóan nem támogathatók!",O7)))</formula>
    </cfRule>
  </conditionalFormatting>
  <conditionalFormatting sqref="P4:Q4 O5">
    <cfRule type="containsText" dxfId="65" priority="159" operator="containsText" text="válaszoljon">
      <formula>NOT(ISERROR(SEARCH("válaszoljon",O4)))</formula>
    </cfRule>
  </conditionalFormatting>
  <dataValidations count="13">
    <dataValidation type="list" allowBlank="1" showInputMessage="1" showErrorMessage="1" sqref="N5:N8" xr:uid="{00000000-0002-0000-0100-000000000000}">
      <formula1>"Igen,Nem"</formula1>
    </dataValidation>
    <dataValidation type="list" allowBlank="1" showInputMessage="1" showErrorMessage="1" prompt="Kérem válasszon a legördülő listából." sqref="N72:N73" xr:uid="{00000000-0002-0000-0100-000001000000}">
      <formula1>"Igen,Nem, Nem releváns"</formula1>
    </dataValidation>
    <dataValidation type="list" allowBlank="1" showInputMessage="1" showErrorMessage="1" prompt="Kérem válasszon a legördülő listából." sqref="N68:N71" xr:uid="{00000000-0002-0000-0100-000002000000}">
      <formula1>"Igen,Nem"</formula1>
    </dataValidation>
    <dataValidation type="whole" allowBlank="1" showInputMessage="1" showErrorMessage="1" sqref="Q54:Q55 Q17:Q20" xr:uid="{00000000-0002-0000-0100-000004000000}">
      <formula1>0</formula1>
      <formula2>1000000000</formula2>
    </dataValidation>
    <dataValidation allowBlank="1" sqref="K44:K45" xr:uid="{00000000-0002-0000-0100-000005000000}"/>
    <dataValidation type="whole" allowBlank="1" showErrorMessage="1" prompt="Nettó költségnél nem lehet alacsonyabb." sqref="P12 P21:P55" xr:uid="{00000000-0002-0000-0100-000007000000}">
      <formula1>0</formula1>
      <formula2>1000000000</formula2>
    </dataValidation>
    <dataValidation type="whole" allowBlank="1" showInputMessage="1" showErrorMessage="1" sqref="L44 O44" xr:uid="{00000000-0002-0000-0100-000008000000}">
      <formula1>0</formula1>
      <formula2>100000000</formula2>
    </dataValidation>
    <dataValidation type="whole" allowBlank="1" showInputMessage="1" showErrorMessage="1" sqref="L21 K46:K58 O21 K12:K43" xr:uid="{00000000-0002-0000-0100-000009000000}">
      <formula1>0</formula1>
      <formula2>10000000000</formula2>
    </dataValidation>
    <dataValidation type="decimal" allowBlank="1" showInputMessage="1" showErrorMessage="1" sqref="L17 L54 L52 L12 L56 O12 O54 O52 O56 G17:G58 H17:J55" xr:uid="{00000000-0002-0000-0100-00000A000000}">
      <formula1>0</formula1>
      <formula2>10000000000</formula2>
    </dataValidation>
    <dataValidation allowBlank="1" showErrorMessage="1" prompt="Helység és dátum megadása." sqref="C74" xr:uid="{00000000-0002-0000-0100-00000B000000}"/>
    <dataValidation type="list" allowBlank="1" showInputMessage="1" showErrorMessage="1" sqref="D7:G7" xr:uid="{00000000-0002-0000-0100-00000C000000}">
      <formula1>"Szabadon álló családi ház, Sorházi családi ház, Ikerház,Lakóház,Zártkerti lakóház "</formula1>
    </dataValidation>
    <dataValidation type="decimal" allowBlank="1" showInputMessage="1" showErrorMessage="1" sqref="E19:E53" xr:uid="{00000000-0002-0000-0100-000003000000}">
      <formula1>0</formula1>
      <formula2>1000000000</formula2>
    </dataValidation>
    <dataValidation allowBlank="1" showErrorMessage="1" prompt="Nettó költségnél nem lehet alacsonyabb." sqref="Q21:Q55" xr:uid="{00000000-0002-0000-0100-000006000000}"/>
  </dataValidations>
  <printOptions horizontalCentered="1"/>
  <pageMargins left="0.31496062992125984" right="0.31496062992125984" top="0.55118110236220474" bottom="0.35433070866141736" header="0.31496062992125984" footer="0.31496062992125984"/>
  <pageSetup paperSize="9" scale="65" fitToHeight="0" orientation="landscape" r:id="rId1"/>
  <headerFooter>
    <oddHeader>&amp;LMFB Zrt.&amp;C&amp;9KEHOP Plusz-4.1.7-24 OTTHONFELÚJÍTÁSI HITELPROGRAM - &amp;A&amp;R&amp;P.oldal</oddHeader>
  </headerFooter>
  <rowBreaks count="1" manualBreakCount="1">
    <brk id="43" max="16383" man="1"/>
  </rowBreaks>
  <ignoredErrors>
    <ignoredError sqref="I12:J14 I56:J58"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249977111117893"/>
  </sheetPr>
  <dimension ref="A1:Q131"/>
  <sheetViews>
    <sheetView showGridLines="0" tabSelected="1" zoomScale="115" zoomScaleNormal="115" zoomScaleSheetLayoutView="96" workbookViewId="0">
      <selection activeCell="L103" sqref="L103"/>
    </sheetView>
  </sheetViews>
  <sheetFormatPr defaultColWidth="0" defaultRowHeight="14.5" zeroHeight="1" x14ac:dyDescent="0.35"/>
  <cols>
    <col min="1" max="1" width="1.453125" style="2" customWidth="1"/>
    <col min="2" max="2" width="27" style="2" customWidth="1"/>
    <col min="3" max="3" width="30.1796875" style="2" customWidth="1"/>
    <col min="4" max="4" width="12.26953125" style="2" customWidth="1"/>
    <col min="5" max="5" width="8" style="2" customWidth="1"/>
    <col min="6" max="6" width="7.1796875" style="2" bestFit="1" customWidth="1"/>
    <col min="7" max="10" width="11.26953125" style="2" customWidth="1"/>
    <col min="11" max="11" width="12.54296875" style="2" customWidth="1"/>
    <col min="12" max="12" width="9.54296875" style="2" customWidth="1"/>
    <col min="13" max="13" width="1.453125" style="2" customWidth="1"/>
    <col min="14" max="17" width="0" style="2" hidden="1" customWidth="1"/>
    <col min="18" max="16384" width="7.54296875" style="2" hidden="1"/>
  </cols>
  <sheetData>
    <row r="1" spans="2:12" ht="26.15" customHeight="1" x14ac:dyDescent="0.5">
      <c r="B1" s="362" t="s">
        <v>202</v>
      </c>
      <c r="C1" s="362"/>
      <c r="D1" s="362"/>
      <c r="E1" s="362"/>
      <c r="F1" s="362"/>
      <c r="G1" s="362"/>
      <c r="H1" s="362"/>
      <c r="I1" s="362"/>
      <c r="J1" s="362"/>
      <c r="K1" s="39" t="s">
        <v>14</v>
      </c>
      <c r="L1" s="40" t="str">
        <f>+'01_Költségvetés'!N3</f>
        <v>2025.10.15-től</v>
      </c>
    </row>
    <row r="2" spans="2:12" s="74" customFormat="1" ht="14.5" customHeight="1" x14ac:dyDescent="0.35">
      <c r="B2" s="363" t="s">
        <v>229</v>
      </c>
      <c r="C2" s="363"/>
      <c r="D2" s="363"/>
      <c r="E2" s="363"/>
      <c r="F2" s="363"/>
      <c r="G2" s="363"/>
      <c r="H2" s="363"/>
      <c r="I2" s="363"/>
      <c r="J2" s="363"/>
      <c r="K2" s="75"/>
      <c r="L2" s="75"/>
    </row>
    <row r="3" spans="2:12" s="76" customFormat="1" ht="15" customHeight="1" x14ac:dyDescent="0.3">
      <c r="B3" s="76" t="s">
        <v>44</v>
      </c>
      <c r="K3" s="77"/>
      <c r="L3" s="77"/>
    </row>
    <row r="4" spans="2:12" s="76" customFormat="1" ht="14.5" customHeight="1" x14ac:dyDescent="0.3">
      <c r="B4" s="335" t="s">
        <v>45</v>
      </c>
      <c r="C4" s="335"/>
      <c r="D4" s="335"/>
      <c r="E4" s="364" t="str" cm="1">
        <f t="array" ref="E4">IF(ISBLANK('01_Költségvetés'!D5:D5),"",'01_Költségvetés'!D5:D5)</f>
        <v/>
      </c>
      <c r="F4" s="364"/>
      <c r="G4" s="364"/>
      <c r="H4" s="364"/>
      <c r="I4" s="364"/>
      <c r="J4" s="364"/>
      <c r="K4" s="77"/>
      <c r="L4" s="77"/>
    </row>
    <row r="5" spans="2:12" s="76" customFormat="1" ht="14.5" customHeight="1" x14ac:dyDescent="0.3">
      <c r="B5" s="335" t="s">
        <v>46</v>
      </c>
      <c r="C5" s="335"/>
      <c r="D5" s="335"/>
      <c r="E5" s="336"/>
      <c r="F5" s="336"/>
      <c r="G5" s="336"/>
      <c r="H5" s="336"/>
      <c r="I5" s="336"/>
      <c r="J5" s="336"/>
      <c r="K5" s="77"/>
      <c r="L5" s="77"/>
    </row>
    <row r="6" spans="2:12" s="76" customFormat="1" ht="14.5" customHeight="1" x14ac:dyDescent="0.3">
      <c r="B6" s="335" t="s">
        <v>47</v>
      </c>
      <c r="C6" s="335"/>
      <c r="D6" s="335"/>
      <c r="E6" s="336"/>
      <c r="F6" s="336"/>
      <c r="G6" s="336"/>
      <c r="H6" s="336"/>
      <c r="I6" s="336"/>
      <c r="J6" s="336"/>
      <c r="K6" s="77"/>
      <c r="L6" s="77"/>
    </row>
    <row r="7" spans="2:12" s="76" customFormat="1" ht="14.5" customHeight="1" x14ac:dyDescent="0.3">
      <c r="B7" s="335" t="s">
        <v>48</v>
      </c>
      <c r="C7" s="335"/>
      <c r="D7" s="335"/>
      <c r="E7" s="336"/>
      <c r="F7" s="336"/>
      <c r="G7" s="336"/>
      <c r="H7" s="336"/>
      <c r="I7" s="336"/>
      <c r="J7" s="336"/>
      <c r="K7" s="77"/>
      <c r="L7" s="77"/>
    </row>
    <row r="8" spans="2:12" s="76" customFormat="1" ht="14.5" customHeight="1" x14ac:dyDescent="0.3">
      <c r="B8" s="78" t="s">
        <v>172</v>
      </c>
      <c r="K8" s="77"/>
      <c r="L8" s="77"/>
    </row>
    <row r="9" spans="2:12" s="76" customFormat="1" ht="14.5" customHeight="1" x14ac:dyDescent="0.3">
      <c r="B9" s="335" t="s">
        <v>49</v>
      </c>
      <c r="C9" s="335"/>
      <c r="D9" s="335"/>
      <c r="E9" s="336"/>
      <c r="F9" s="336"/>
      <c r="G9" s="336"/>
      <c r="H9" s="336"/>
      <c r="I9" s="336"/>
      <c r="J9" s="336"/>
      <c r="K9" s="77"/>
      <c r="L9" s="77"/>
    </row>
    <row r="10" spans="2:12" s="76" customFormat="1" ht="14.5" customHeight="1" x14ac:dyDescent="0.3">
      <c r="B10" s="335" t="s">
        <v>50</v>
      </c>
      <c r="C10" s="335"/>
      <c r="D10" s="335"/>
      <c r="E10" s="336"/>
      <c r="F10" s="336"/>
      <c r="G10" s="336"/>
      <c r="H10" s="336"/>
      <c r="I10" s="336"/>
      <c r="J10" s="336"/>
      <c r="K10" s="77"/>
      <c r="L10" s="77"/>
    </row>
    <row r="11" spans="2:12" s="76" customFormat="1" ht="14.5" customHeight="1" x14ac:dyDescent="0.3">
      <c r="B11" s="335" t="s">
        <v>51</v>
      </c>
      <c r="C11" s="335"/>
      <c r="D11" s="335"/>
      <c r="E11" s="336"/>
      <c r="F11" s="336"/>
      <c r="G11" s="336"/>
      <c r="H11" s="336"/>
      <c r="I11" s="336"/>
      <c r="J11" s="336"/>
      <c r="K11" s="77"/>
      <c r="L11" s="77"/>
    </row>
    <row r="12" spans="2:12" s="76" customFormat="1" ht="14.5" customHeight="1" x14ac:dyDescent="0.3">
      <c r="B12" s="335" t="s">
        <v>52</v>
      </c>
      <c r="C12" s="335"/>
      <c r="D12" s="335"/>
      <c r="E12" s="336"/>
      <c r="F12" s="336"/>
      <c r="G12" s="336"/>
      <c r="H12" s="336"/>
      <c r="I12" s="336"/>
      <c r="J12" s="336"/>
      <c r="K12" s="77"/>
      <c r="L12" s="77"/>
    </row>
    <row r="13" spans="2:12" s="76" customFormat="1" ht="14.5" customHeight="1" x14ac:dyDescent="0.3">
      <c r="B13" s="335" t="s">
        <v>53</v>
      </c>
      <c r="C13" s="335"/>
      <c r="D13" s="335"/>
      <c r="E13" s="336"/>
      <c r="F13" s="336"/>
      <c r="G13" s="336"/>
      <c r="H13" s="336"/>
      <c r="I13" s="336"/>
      <c r="J13" s="336"/>
      <c r="K13" s="77"/>
      <c r="L13" s="77"/>
    </row>
    <row r="14" spans="2:12" s="76" customFormat="1" ht="14.5" customHeight="1" x14ac:dyDescent="0.3">
      <c r="B14" s="341" t="s">
        <v>54</v>
      </c>
      <c r="C14" s="341"/>
      <c r="D14" s="341"/>
      <c r="E14" s="341"/>
      <c r="F14" s="341"/>
      <c r="G14" s="341"/>
      <c r="H14" s="341"/>
      <c r="I14" s="341"/>
      <c r="J14" s="341"/>
      <c r="K14" s="341"/>
      <c r="L14" s="341"/>
    </row>
    <row r="15" spans="2:12" s="76" customFormat="1" ht="14.5" customHeight="1" x14ac:dyDescent="0.3">
      <c r="B15" s="341" t="s">
        <v>55</v>
      </c>
      <c r="C15" s="341"/>
      <c r="D15" s="341"/>
      <c r="E15" s="341"/>
      <c r="F15" s="341"/>
      <c r="G15" s="341"/>
      <c r="H15" s="341"/>
      <c r="I15" s="341"/>
      <c r="J15" s="341"/>
      <c r="K15" s="341"/>
      <c r="L15" s="341"/>
    </row>
    <row r="16" spans="2:12" s="74" customFormat="1" ht="23.5" customHeight="1" x14ac:dyDescent="0.35">
      <c r="B16" s="79" t="s">
        <v>56</v>
      </c>
      <c r="K16" s="75"/>
      <c r="L16" s="75"/>
    </row>
    <row r="17" spans="2:12" s="76" customFormat="1" ht="41.5" customHeight="1" x14ac:dyDescent="0.35">
      <c r="B17" s="342" t="s">
        <v>230</v>
      </c>
      <c r="C17" s="342"/>
      <c r="D17" s="342"/>
      <c r="E17" s="342"/>
      <c r="F17" s="342"/>
      <c r="G17" s="342"/>
      <c r="H17" s="342"/>
      <c r="I17" s="342"/>
      <c r="J17" s="342"/>
      <c r="K17" s="343"/>
      <c r="L17" s="343"/>
    </row>
    <row r="18" spans="2:12" s="76" customFormat="1" ht="22.5" customHeight="1" x14ac:dyDescent="0.3">
      <c r="B18" s="365" t="s">
        <v>57</v>
      </c>
      <c r="C18" s="365"/>
      <c r="D18" s="365"/>
      <c r="E18" s="364" t="str" cm="1">
        <f t="array" ref="E18">IF(ISBLANK('01_Költségvetés'!D6:D6),"",'01_Költségvetés'!D6:D6)</f>
        <v/>
      </c>
      <c r="F18" s="364"/>
      <c r="G18" s="364"/>
      <c r="H18" s="364"/>
      <c r="I18" s="364"/>
      <c r="J18" s="364"/>
      <c r="K18" s="77"/>
      <c r="L18" s="77"/>
    </row>
    <row r="19" spans="2:12" s="76" customFormat="1" ht="6.75" customHeight="1" x14ac:dyDescent="0.3">
      <c r="B19" s="366"/>
      <c r="C19" s="366"/>
      <c r="D19" s="366"/>
      <c r="E19" s="367"/>
      <c r="F19" s="367"/>
      <c r="G19" s="367"/>
      <c r="H19" s="367"/>
      <c r="I19" s="367"/>
      <c r="J19" s="367"/>
      <c r="K19" s="77"/>
      <c r="L19" s="77"/>
    </row>
    <row r="20" spans="2:12" s="74" customFormat="1" ht="17.25" customHeight="1" x14ac:dyDescent="0.35">
      <c r="B20" s="79" t="s">
        <v>58</v>
      </c>
      <c r="K20" s="75"/>
      <c r="L20" s="75"/>
    </row>
    <row r="21" spans="2:12" s="76" customFormat="1" ht="129" customHeight="1" x14ac:dyDescent="0.3">
      <c r="B21" s="373" t="s">
        <v>206</v>
      </c>
      <c r="C21" s="373"/>
      <c r="D21" s="373"/>
      <c r="E21" s="373"/>
      <c r="F21" s="373"/>
      <c r="G21" s="373"/>
      <c r="H21" s="373"/>
      <c r="I21" s="373"/>
      <c r="J21" s="373"/>
      <c r="K21" s="373"/>
      <c r="L21" s="373"/>
    </row>
    <row r="22" spans="2:12" s="76" customFormat="1" ht="28.5" customHeight="1" x14ac:dyDescent="0.35">
      <c r="B22" s="79" t="s">
        <v>60</v>
      </c>
      <c r="C22" s="74"/>
      <c r="D22" s="74"/>
      <c r="E22" s="74"/>
      <c r="F22" s="74"/>
      <c r="G22" s="74"/>
      <c r="H22" s="74"/>
      <c r="I22" s="74"/>
      <c r="J22" s="74"/>
      <c r="K22" s="80"/>
      <c r="L22" s="80"/>
    </row>
    <row r="23" spans="2:12" s="76" customFormat="1" ht="30" customHeight="1" x14ac:dyDescent="0.3">
      <c r="B23" s="374" t="s">
        <v>173</v>
      </c>
      <c r="C23" s="374"/>
      <c r="D23" s="374"/>
      <c r="E23" s="374"/>
      <c r="F23" s="374"/>
      <c r="G23" s="374"/>
      <c r="H23" s="374"/>
      <c r="I23" s="374"/>
      <c r="J23" s="374"/>
      <c r="K23" s="374"/>
      <c r="L23" s="374"/>
    </row>
    <row r="24" spans="2:12" s="76" customFormat="1" ht="19.5" customHeight="1" x14ac:dyDescent="0.3">
      <c r="B24" s="82" t="s">
        <v>61</v>
      </c>
      <c r="C24" s="83">
        <f>SUM(G46:G84)+SUM(I46:I84)+I87</f>
        <v>0</v>
      </c>
      <c r="K24" s="80"/>
      <c r="L24" s="80"/>
    </row>
    <row r="25" spans="2:12" s="76" customFormat="1" ht="19.5" customHeight="1" x14ac:dyDescent="0.3">
      <c r="B25" s="82" t="s">
        <v>62</v>
      </c>
      <c r="C25" s="83">
        <f>+C26-C24</f>
        <v>0</v>
      </c>
      <c r="K25" s="80"/>
      <c r="L25" s="80"/>
    </row>
    <row r="26" spans="2:12" s="76" customFormat="1" ht="19.5" customHeight="1" x14ac:dyDescent="0.3">
      <c r="B26" s="84" t="s">
        <v>63</v>
      </c>
      <c r="C26" s="85">
        <f>+K88</f>
        <v>0</v>
      </c>
      <c r="K26" s="80"/>
      <c r="L26" s="80"/>
    </row>
    <row r="27" spans="2:12" s="76" customFormat="1" ht="6.75" customHeight="1" x14ac:dyDescent="0.3">
      <c r="B27" s="375"/>
      <c r="C27" s="375"/>
      <c r="D27" s="375"/>
      <c r="E27" s="375"/>
      <c r="F27" s="375"/>
      <c r="G27" s="375"/>
      <c r="H27" s="375"/>
      <c r="I27" s="375"/>
      <c r="J27" s="375"/>
      <c r="K27" s="375"/>
      <c r="L27" s="375"/>
    </row>
    <row r="28" spans="2:12" s="76" customFormat="1" ht="17" hidden="1" x14ac:dyDescent="0.4">
      <c r="B28" s="86" t="s">
        <v>64</v>
      </c>
      <c r="C28" s="74"/>
      <c r="D28" s="74"/>
      <c r="E28" s="74"/>
      <c r="F28" s="74"/>
      <c r="G28" s="74"/>
      <c r="H28" s="74"/>
      <c r="I28" s="74"/>
      <c r="J28" s="74"/>
      <c r="K28" s="80"/>
      <c r="L28" s="80"/>
    </row>
    <row r="29" spans="2:12" s="76" customFormat="1" ht="45.65" customHeight="1" x14ac:dyDescent="0.3">
      <c r="B29" s="374" t="s">
        <v>205</v>
      </c>
      <c r="C29" s="374"/>
      <c r="D29" s="374"/>
      <c r="E29" s="374"/>
      <c r="F29" s="374"/>
      <c r="G29" s="374"/>
      <c r="H29" s="374"/>
      <c r="I29" s="374"/>
      <c r="J29" s="374"/>
      <c r="K29" s="374"/>
      <c r="L29" s="374"/>
    </row>
    <row r="30" spans="2:12" s="76" customFormat="1" ht="13" hidden="1" x14ac:dyDescent="0.3">
      <c r="B30" s="136"/>
      <c r="C30" s="137"/>
      <c r="D30" s="370"/>
      <c r="E30" s="370"/>
      <c r="F30" s="87"/>
      <c r="G30" s="87"/>
      <c r="H30" s="87"/>
      <c r="I30" s="87"/>
      <c r="J30" s="87"/>
      <c r="K30" s="87"/>
      <c r="L30" s="87"/>
    </row>
    <row r="31" spans="2:12" s="78" customFormat="1" ht="24.75" customHeight="1" x14ac:dyDescent="0.35">
      <c r="B31" s="368" t="s">
        <v>207</v>
      </c>
      <c r="C31" s="369"/>
      <c r="D31" s="371"/>
      <c r="E31" s="372"/>
      <c r="F31" s="87"/>
      <c r="G31" s="87"/>
      <c r="H31" s="87"/>
      <c r="I31" s="87"/>
      <c r="J31" s="87"/>
      <c r="K31" s="87"/>
      <c r="L31" s="87"/>
    </row>
    <row r="32" spans="2:12" s="78" customFormat="1" ht="24.75" customHeight="1" x14ac:dyDescent="0.35">
      <c r="B32" s="368" t="s">
        <v>208</v>
      </c>
      <c r="C32" s="369"/>
      <c r="D32" s="371"/>
      <c r="E32" s="372"/>
      <c r="F32" s="87"/>
      <c r="G32" s="87"/>
      <c r="H32" s="87"/>
      <c r="I32" s="87"/>
      <c r="J32" s="87"/>
      <c r="K32" s="87"/>
      <c r="L32" s="87"/>
    </row>
    <row r="33" spans="2:13" s="78" customFormat="1" ht="24.75" customHeight="1" x14ac:dyDescent="0.35">
      <c r="B33" s="368" t="s">
        <v>217</v>
      </c>
      <c r="C33" s="369"/>
      <c r="D33" s="337"/>
      <c r="E33" s="338"/>
      <c r="F33" s="87"/>
      <c r="G33" s="87"/>
      <c r="H33" s="87"/>
      <c r="I33" s="87"/>
      <c r="J33" s="87"/>
      <c r="K33" s="87"/>
      <c r="L33" s="87"/>
    </row>
    <row r="34" spans="2:13" s="78" customFormat="1" ht="10.5" customHeight="1" x14ac:dyDescent="0.35">
      <c r="B34" s="87"/>
      <c r="C34" s="87"/>
      <c r="D34" s="87"/>
      <c r="E34" s="87"/>
      <c r="F34" s="87"/>
      <c r="G34" s="87"/>
      <c r="H34" s="87"/>
      <c r="I34" s="87"/>
      <c r="J34" s="87"/>
      <c r="K34" s="87"/>
      <c r="L34" s="87"/>
    </row>
    <row r="35" spans="2:13" s="78" customFormat="1" ht="10.5" customHeight="1" x14ac:dyDescent="0.35">
      <c r="B35" s="87"/>
      <c r="C35" s="87"/>
      <c r="D35" s="87"/>
      <c r="E35" s="87"/>
      <c r="F35" s="87"/>
      <c r="G35" s="87"/>
      <c r="H35" s="87"/>
      <c r="I35" s="87"/>
      <c r="J35" s="87"/>
      <c r="K35" s="87"/>
      <c r="L35" s="87"/>
    </row>
    <row r="36" spans="2:13" s="76" customFormat="1" ht="86.5" customHeight="1" x14ac:dyDescent="0.3">
      <c r="B36" s="326" t="s">
        <v>122</v>
      </c>
      <c r="C36" s="326"/>
      <c r="D36" s="326"/>
      <c r="E36" s="326"/>
      <c r="F36" s="326"/>
      <c r="G36" s="326"/>
      <c r="H36" s="326"/>
      <c r="I36" s="326"/>
      <c r="J36" s="326"/>
      <c r="K36" s="326"/>
      <c r="L36" s="326"/>
    </row>
    <row r="37" spans="2:13" s="76" customFormat="1" ht="17" hidden="1" x14ac:dyDescent="0.3">
      <c r="B37" s="79" t="s">
        <v>65</v>
      </c>
      <c r="C37" s="88"/>
      <c r="D37" s="89"/>
      <c r="E37" s="89"/>
      <c r="F37" s="81"/>
      <c r="G37" s="81"/>
      <c r="H37" s="81"/>
      <c r="I37" s="81"/>
      <c r="J37" s="81"/>
      <c r="K37" s="81"/>
      <c r="L37" s="81"/>
    </row>
    <row r="38" spans="2:13" s="76" customFormat="1" ht="47.5" customHeight="1" x14ac:dyDescent="0.3">
      <c r="B38" s="326" t="s">
        <v>123</v>
      </c>
      <c r="C38" s="326"/>
      <c r="D38" s="326"/>
      <c r="E38" s="326"/>
      <c r="F38" s="326"/>
      <c r="G38" s="326"/>
      <c r="H38" s="326"/>
      <c r="I38" s="326"/>
      <c r="J38" s="326"/>
      <c r="K38" s="326"/>
      <c r="L38" s="326"/>
    </row>
    <row r="39" spans="2:13" s="76" customFormat="1" ht="17" hidden="1" x14ac:dyDescent="0.3">
      <c r="B39" s="79" t="s">
        <v>124</v>
      </c>
      <c r="C39" s="88"/>
      <c r="D39" s="89"/>
      <c r="E39" s="89"/>
      <c r="F39" s="81"/>
      <c r="G39" s="81"/>
      <c r="H39" s="81"/>
      <c r="I39" s="81"/>
      <c r="J39" s="81"/>
      <c r="K39" s="81"/>
      <c r="L39" s="81"/>
    </row>
    <row r="40" spans="2:13" s="76" customFormat="1" ht="199.5" customHeight="1" x14ac:dyDescent="0.3">
      <c r="B40" s="326" t="s">
        <v>130</v>
      </c>
      <c r="C40" s="326"/>
      <c r="D40" s="326"/>
      <c r="E40" s="326"/>
      <c r="F40" s="326"/>
      <c r="G40" s="326"/>
      <c r="H40" s="326"/>
      <c r="I40" s="326"/>
      <c r="J40" s="326"/>
      <c r="K40" s="326"/>
      <c r="L40" s="326"/>
    </row>
    <row r="41" spans="2:13" s="76" customFormat="1" ht="210.75" customHeight="1" x14ac:dyDescent="0.3">
      <c r="B41" s="326" t="s">
        <v>125</v>
      </c>
      <c r="C41" s="326"/>
      <c r="D41" s="326"/>
      <c r="E41" s="326"/>
      <c r="F41" s="326"/>
      <c r="G41" s="326"/>
      <c r="H41" s="326"/>
      <c r="I41" s="326"/>
      <c r="J41" s="326"/>
      <c r="K41" s="326"/>
      <c r="L41" s="326"/>
    </row>
    <row r="43" spans="2:13" s="76" customFormat="1" ht="20.149999999999999" customHeight="1" thickBot="1" x14ac:dyDescent="0.35">
      <c r="B43" s="344" t="s">
        <v>144</v>
      </c>
      <c r="C43" s="344"/>
      <c r="D43" s="89"/>
      <c r="E43" s="89"/>
      <c r="F43" s="81"/>
      <c r="G43" s="81"/>
      <c r="H43" s="81"/>
      <c r="I43" s="81"/>
      <c r="J43" s="81"/>
      <c r="K43" s="81"/>
      <c r="L43" s="81"/>
    </row>
    <row r="44" spans="2:13" s="76" customFormat="1" ht="13" x14ac:dyDescent="0.3">
      <c r="B44" s="317" t="s">
        <v>3</v>
      </c>
      <c r="C44" s="318"/>
      <c r="D44" s="318"/>
      <c r="E44" s="321" t="s">
        <v>121</v>
      </c>
      <c r="F44" s="224" t="s">
        <v>4</v>
      </c>
      <c r="G44" s="226" t="s">
        <v>59</v>
      </c>
      <c r="H44" s="226"/>
      <c r="I44" s="226" t="s">
        <v>231</v>
      </c>
      <c r="J44" s="226"/>
      <c r="K44" s="226" t="s">
        <v>232</v>
      </c>
      <c r="L44" s="226"/>
      <c r="M44" s="78"/>
    </row>
    <row r="45" spans="2:13" s="76" customFormat="1" ht="13.5" thickBot="1" x14ac:dyDescent="0.35">
      <c r="B45" s="319"/>
      <c r="C45" s="320"/>
      <c r="D45" s="320"/>
      <c r="E45" s="322"/>
      <c r="F45" s="225"/>
      <c r="G45" s="58" t="s">
        <v>10</v>
      </c>
      <c r="H45" s="58" t="s">
        <v>11</v>
      </c>
      <c r="I45" s="58" t="s">
        <v>10</v>
      </c>
      <c r="J45" s="58" t="s">
        <v>11</v>
      </c>
      <c r="K45" s="228"/>
      <c r="L45" s="228"/>
      <c r="M45" s="78"/>
    </row>
    <row r="46" spans="2:13" s="78" customFormat="1" ht="17.25" customHeight="1" x14ac:dyDescent="0.35">
      <c r="B46" s="345" t="s">
        <v>174</v>
      </c>
      <c r="C46" s="222" t="s">
        <v>99</v>
      </c>
      <c r="D46" s="222"/>
      <c r="E46" s="222"/>
      <c r="F46" s="222"/>
      <c r="G46" s="175"/>
      <c r="H46" s="175"/>
      <c r="I46" s="175"/>
      <c r="J46" s="175"/>
      <c r="K46" s="51">
        <f t="shared" ref="K46:K84" si="0">IFERROR(H46+J46,)</f>
        <v>0</v>
      </c>
      <c r="L46" s="348">
        <f>SUM(K46:K49)</f>
        <v>0</v>
      </c>
    </row>
    <row r="47" spans="2:13" s="78" customFormat="1" ht="17.25" customHeight="1" x14ac:dyDescent="0.35">
      <c r="B47" s="346"/>
      <c r="C47" s="222" t="s">
        <v>100</v>
      </c>
      <c r="D47" s="222"/>
      <c r="E47" s="222"/>
      <c r="F47" s="222"/>
      <c r="G47" s="175"/>
      <c r="H47" s="175"/>
      <c r="I47" s="175"/>
      <c r="J47" s="175"/>
      <c r="K47" s="51">
        <f t="shared" si="0"/>
        <v>0</v>
      </c>
      <c r="L47" s="232"/>
    </row>
    <row r="48" spans="2:13" s="78" customFormat="1" ht="17.25" customHeight="1" x14ac:dyDescent="0.35">
      <c r="B48" s="346"/>
      <c r="C48" s="212" t="s">
        <v>235</v>
      </c>
      <c r="D48" s="170" t="s">
        <v>236</v>
      </c>
      <c r="E48" s="168"/>
      <c r="F48" s="62" t="s">
        <v>155</v>
      </c>
      <c r="G48" s="175"/>
      <c r="H48" s="175"/>
      <c r="I48" s="175"/>
      <c r="J48" s="175"/>
      <c r="K48" s="51">
        <f t="shared" si="0"/>
        <v>0</v>
      </c>
      <c r="L48" s="232"/>
    </row>
    <row r="49" spans="2:12" s="78" customFormat="1" ht="17.25" customHeight="1" x14ac:dyDescent="0.35">
      <c r="B49" s="347"/>
      <c r="C49" s="213"/>
      <c r="D49" s="171" t="s">
        <v>237</v>
      </c>
      <c r="E49" s="168"/>
      <c r="F49" s="62" t="s">
        <v>155</v>
      </c>
      <c r="G49" s="175"/>
      <c r="H49" s="175"/>
      <c r="I49" s="175"/>
      <c r="J49" s="175"/>
      <c r="K49" s="51">
        <f t="shared" si="0"/>
        <v>0</v>
      </c>
      <c r="L49" s="233"/>
    </row>
    <row r="50" spans="2:12" s="78" customFormat="1" ht="17.25" customHeight="1" x14ac:dyDescent="0.35">
      <c r="B50" s="339" t="s">
        <v>176</v>
      </c>
      <c r="C50" s="222" t="s">
        <v>82</v>
      </c>
      <c r="D50" s="93" t="s">
        <v>77</v>
      </c>
      <c r="E50" s="113"/>
      <c r="F50" s="62" t="s">
        <v>155</v>
      </c>
      <c r="G50" s="175"/>
      <c r="H50" s="175"/>
      <c r="I50" s="175"/>
      <c r="J50" s="175"/>
      <c r="K50" s="51">
        <f t="shared" si="0"/>
        <v>0</v>
      </c>
      <c r="L50" s="256">
        <f>SUM(K50:K72)</f>
        <v>0</v>
      </c>
    </row>
    <row r="51" spans="2:12" s="78" customFormat="1" ht="17.25" customHeight="1" x14ac:dyDescent="0.35">
      <c r="B51" s="268"/>
      <c r="C51" s="222"/>
      <c r="D51" s="94" t="s">
        <v>78</v>
      </c>
      <c r="E51" s="113"/>
      <c r="F51" s="62" t="s">
        <v>155</v>
      </c>
      <c r="G51" s="175"/>
      <c r="H51" s="175"/>
      <c r="I51" s="175"/>
      <c r="J51" s="175"/>
      <c r="K51" s="51">
        <f t="shared" si="0"/>
        <v>0</v>
      </c>
      <c r="L51" s="256"/>
    </row>
    <row r="52" spans="2:12" s="78" customFormat="1" ht="17.25" customHeight="1" x14ac:dyDescent="0.35">
      <c r="B52" s="268"/>
      <c r="C52" s="222"/>
      <c r="D52" s="94" t="s">
        <v>79</v>
      </c>
      <c r="E52" s="113"/>
      <c r="F52" s="62" t="s">
        <v>155</v>
      </c>
      <c r="G52" s="175"/>
      <c r="H52" s="175"/>
      <c r="I52" s="175"/>
      <c r="J52" s="175"/>
      <c r="K52" s="51">
        <f t="shared" si="0"/>
        <v>0</v>
      </c>
      <c r="L52" s="256"/>
    </row>
    <row r="53" spans="2:12" s="78" customFormat="1" ht="17.25" customHeight="1" x14ac:dyDescent="0.35">
      <c r="B53" s="268"/>
      <c r="C53" s="222" t="s">
        <v>83</v>
      </c>
      <c r="D53" s="93" t="s">
        <v>77</v>
      </c>
      <c r="E53" s="113"/>
      <c r="F53" s="62" t="s">
        <v>155</v>
      </c>
      <c r="G53" s="175"/>
      <c r="H53" s="175"/>
      <c r="I53" s="175"/>
      <c r="J53" s="175"/>
      <c r="K53" s="51">
        <f t="shared" si="0"/>
        <v>0</v>
      </c>
      <c r="L53" s="256"/>
    </row>
    <row r="54" spans="2:12" s="78" customFormat="1" ht="17.25" customHeight="1" x14ac:dyDescent="0.35">
      <c r="B54" s="268"/>
      <c r="C54" s="222"/>
      <c r="D54" s="94" t="s">
        <v>78</v>
      </c>
      <c r="E54" s="113"/>
      <c r="F54" s="62" t="s">
        <v>155</v>
      </c>
      <c r="G54" s="175"/>
      <c r="H54" s="175"/>
      <c r="I54" s="175"/>
      <c r="J54" s="175"/>
      <c r="K54" s="51">
        <f t="shared" si="0"/>
        <v>0</v>
      </c>
      <c r="L54" s="256"/>
    </row>
    <row r="55" spans="2:12" s="78" customFormat="1" ht="17.25" customHeight="1" x14ac:dyDescent="0.35">
      <c r="B55" s="268"/>
      <c r="C55" s="222"/>
      <c r="D55" s="94" t="s">
        <v>79</v>
      </c>
      <c r="E55" s="113"/>
      <c r="F55" s="62" t="s">
        <v>155</v>
      </c>
      <c r="G55" s="175"/>
      <c r="H55" s="175"/>
      <c r="I55" s="175"/>
      <c r="J55" s="175"/>
      <c r="K55" s="51">
        <f t="shared" si="0"/>
        <v>0</v>
      </c>
      <c r="L55" s="256"/>
    </row>
    <row r="56" spans="2:12" s="78" customFormat="1" ht="17.25" customHeight="1" x14ac:dyDescent="0.35">
      <c r="B56" s="268"/>
      <c r="C56" s="222" t="s">
        <v>84</v>
      </c>
      <c r="D56" s="93" t="s">
        <v>77</v>
      </c>
      <c r="E56" s="113"/>
      <c r="F56" s="62" t="s">
        <v>155</v>
      </c>
      <c r="G56" s="175"/>
      <c r="H56" s="175"/>
      <c r="I56" s="175"/>
      <c r="J56" s="175"/>
      <c r="K56" s="51">
        <f t="shared" si="0"/>
        <v>0</v>
      </c>
      <c r="L56" s="256"/>
    </row>
    <row r="57" spans="2:12" s="78" customFormat="1" ht="17.25" customHeight="1" x14ac:dyDescent="0.35">
      <c r="B57" s="268"/>
      <c r="C57" s="222"/>
      <c r="D57" s="94" t="s">
        <v>78</v>
      </c>
      <c r="E57" s="113"/>
      <c r="F57" s="62" t="s">
        <v>155</v>
      </c>
      <c r="G57" s="175"/>
      <c r="H57" s="175"/>
      <c r="I57" s="175"/>
      <c r="J57" s="175"/>
      <c r="K57" s="51">
        <f t="shared" si="0"/>
        <v>0</v>
      </c>
      <c r="L57" s="256"/>
    </row>
    <row r="58" spans="2:12" s="78" customFormat="1" ht="17.25" customHeight="1" x14ac:dyDescent="0.35">
      <c r="B58" s="268"/>
      <c r="C58" s="222"/>
      <c r="D58" s="94" t="s">
        <v>79</v>
      </c>
      <c r="E58" s="113"/>
      <c r="F58" s="62" t="s">
        <v>155</v>
      </c>
      <c r="G58" s="175"/>
      <c r="H58" s="175"/>
      <c r="I58" s="175"/>
      <c r="J58" s="175"/>
      <c r="K58" s="51">
        <f t="shared" si="0"/>
        <v>0</v>
      </c>
      <c r="L58" s="256"/>
    </row>
    <row r="59" spans="2:12" s="78" customFormat="1" ht="17.25" customHeight="1" x14ac:dyDescent="0.35">
      <c r="B59" s="268"/>
      <c r="C59" s="222" t="s">
        <v>88</v>
      </c>
      <c r="D59" s="93" t="s">
        <v>85</v>
      </c>
      <c r="E59" s="113"/>
      <c r="F59" s="62" t="s">
        <v>155</v>
      </c>
      <c r="G59" s="175"/>
      <c r="H59" s="175"/>
      <c r="I59" s="175"/>
      <c r="J59" s="175"/>
      <c r="K59" s="51">
        <f t="shared" si="0"/>
        <v>0</v>
      </c>
      <c r="L59" s="256"/>
    </row>
    <row r="60" spans="2:12" s="78" customFormat="1" ht="17.25" customHeight="1" x14ac:dyDescent="0.35">
      <c r="B60" s="268"/>
      <c r="C60" s="222"/>
      <c r="D60" s="94" t="s">
        <v>86</v>
      </c>
      <c r="E60" s="113"/>
      <c r="F60" s="62" t="s">
        <v>155</v>
      </c>
      <c r="G60" s="175"/>
      <c r="H60" s="175"/>
      <c r="I60" s="175"/>
      <c r="J60" s="175"/>
      <c r="K60" s="51">
        <f t="shared" si="0"/>
        <v>0</v>
      </c>
      <c r="L60" s="256"/>
    </row>
    <row r="61" spans="2:12" s="78" customFormat="1" ht="17.25" customHeight="1" x14ac:dyDescent="0.35">
      <c r="B61" s="268"/>
      <c r="C61" s="222"/>
      <c r="D61" s="94" t="s">
        <v>87</v>
      </c>
      <c r="E61" s="113"/>
      <c r="F61" s="62" t="s">
        <v>155</v>
      </c>
      <c r="G61" s="175"/>
      <c r="H61" s="175"/>
      <c r="I61" s="175"/>
      <c r="J61" s="175"/>
      <c r="K61" s="51">
        <f t="shared" si="0"/>
        <v>0</v>
      </c>
      <c r="L61" s="256"/>
    </row>
    <row r="62" spans="2:12" s="78" customFormat="1" ht="17.25" customHeight="1" x14ac:dyDescent="0.35">
      <c r="B62" s="268"/>
      <c r="C62" s="222" t="s">
        <v>91</v>
      </c>
      <c r="D62" s="93" t="s">
        <v>89</v>
      </c>
      <c r="E62" s="113"/>
      <c r="F62" s="62" t="s">
        <v>155</v>
      </c>
      <c r="G62" s="175"/>
      <c r="H62" s="175"/>
      <c r="I62" s="175"/>
      <c r="J62" s="175"/>
      <c r="K62" s="51">
        <f t="shared" si="0"/>
        <v>0</v>
      </c>
      <c r="L62" s="256"/>
    </row>
    <row r="63" spans="2:12" s="78" customFormat="1" ht="17.25" customHeight="1" x14ac:dyDescent="0.35">
      <c r="B63" s="268"/>
      <c r="C63" s="222"/>
      <c r="D63" s="94" t="s">
        <v>90</v>
      </c>
      <c r="E63" s="113"/>
      <c r="F63" s="62" t="s">
        <v>155</v>
      </c>
      <c r="G63" s="175"/>
      <c r="H63" s="175"/>
      <c r="I63" s="175"/>
      <c r="J63" s="175"/>
      <c r="K63" s="51">
        <f t="shared" si="0"/>
        <v>0</v>
      </c>
      <c r="L63" s="256"/>
    </row>
    <row r="64" spans="2:12" s="78" customFormat="1" ht="17.25" customHeight="1" x14ac:dyDescent="0.35">
      <c r="B64" s="268"/>
      <c r="C64" s="222" t="s">
        <v>92</v>
      </c>
      <c r="D64" s="93" t="s">
        <v>89</v>
      </c>
      <c r="E64" s="113"/>
      <c r="F64" s="62" t="s">
        <v>155</v>
      </c>
      <c r="G64" s="175"/>
      <c r="H64" s="175"/>
      <c r="I64" s="175"/>
      <c r="J64" s="175"/>
      <c r="K64" s="51">
        <f t="shared" si="0"/>
        <v>0</v>
      </c>
      <c r="L64" s="256"/>
    </row>
    <row r="65" spans="2:12" s="78" customFormat="1" ht="17.25" customHeight="1" x14ac:dyDescent="0.35">
      <c r="B65" s="268"/>
      <c r="C65" s="222"/>
      <c r="D65" s="94" t="s">
        <v>90</v>
      </c>
      <c r="E65" s="113"/>
      <c r="F65" s="62" t="s">
        <v>155</v>
      </c>
      <c r="G65" s="175"/>
      <c r="H65" s="175"/>
      <c r="I65" s="175"/>
      <c r="J65" s="175"/>
      <c r="K65" s="51">
        <f t="shared" si="0"/>
        <v>0</v>
      </c>
      <c r="L65" s="256"/>
    </row>
    <row r="66" spans="2:12" s="78" customFormat="1" ht="17.25" customHeight="1" x14ac:dyDescent="0.35">
      <c r="B66" s="268"/>
      <c r="C66" s="222" t="s">
        <v>95</v>
      </c>
      <c r="D66" s="93" t="s">
        <v>93</v>
      </c>
      <c r="E66" s="113"/>
      <c r="F66" s="62" t="s">
        <v>155</v>
      </c>
      <c r="G66" s="175"/>
      <c r="H66" s="175"/>
      <c r="I66" s="175"/>
      <c r="J66" s="175"/>
      <c r="K66" s="51">
        <f t="shared" si="0"/>
        <v>0</v>
      </c>
      <c r="L66" s="256"/>
    </row>
    <row r="67" spans="2:12" s="78" customFormat="1" ht="17.25" customHeight="1" x14ac:dyDescent="0.35">
      <c r="B67" s="268"/>
      <c r="C67" s="222"/>
      <c r="D67" s="94" t="s">
        <v>94</v>
      </c>
      <c r="E67" s="113"/>
      <c r="F67" s="62" t="s">
        <v>155</v>
      </c>
      <c r="G67" s="175"/>
      <c r="H67" s="175"/>
      <c r="I67" s="175"/>
      <c r="J67" s="175"/>
      <c r="K67" s="51">
        <f t="shared" si="0"/>
        <v>0</v>
      </c>
      <c r="L67" s="256"/>
    </row>
    <row r="68" spans="2:12" s="78" customFormat="1" ht="17.25" customHeight="1" x14ac:dyDescent="0.35">
      <c r="B68" s="268"/>
      <c r="C68" s="293" t="s">
        <v>96</v>
      </c>
      <c r="D68" s="93" t="s">
        <v>77</v>
      </c>
      <c r="E68" s="113"/>
      <c r="F68" s="62" t="s">
        <v>155</v>
      </c>
      <c r="G68" s="175"/>
      <c r="H68" s="175"/>
      <c r="I68" s="175"/>
      <c r="J68" s="175"/>
      <c r="K68" s="51">
        <f t="shared" si="0"/>
        <v>0</v>
      </c>
      <c r="L68" s="256"/>
    </row>
    <row r="69" spans="2:12" s="78" customFormat="1" ht="17.25" customHeight="1" x14ac:dyDescent="0.35">
      <c r="B69" s="268"/>
      <c r="C69" s="293"/>
      <c r="D69" s="94" t="s">
        <v>78</v>
      </c>
      <c r="E69" s="113"/>
      <c r="F69" s="62" t="s">
        <v>155</v>
      </c>
      <c r="G69" s="175"/>
      <c r="H69" s="175"/>
      <c r="I69" s="175"/>
      <c r="J69" s="175"/>
      <c r="K69" s="51">
        <f t="shared" si="0"/>
        <v>0</v>
      </c>
      <c r="L69" s="256"/>
    </row>
    <row r="70" spans="2:12" s="78" customFormat="1" ht="17.25" customHeight="1" x14ac:dyDescent="0.35">
      <c r="B70" s="268"/>
      <c r="C70" s="293"/>
      <c r="D70" s="94" t="s">
        <v>79</v>
      </c>
      <c r="E70" s="113"/>
      <c r="F70" s="62" t="s">
        <v>155</v>
      </c>
      <c r="G70" s="175"/>
      <c r="H70" s="175"/>
      <c r="I70" s="175"/>
      <c r="J70" s="175"/>
      <c r="K70" s="51">
        <f t="shared" si="0"/>
        <v>0</v>
      </c>
      <c r="L70" s="256"/>
    </row>
    <row r="71" spans="2:12" s="78" customFormat="1" ht="17.25" customHeight="1" x14ac:dyDescent="0.35">
      <c r="B71" s="268"/>
      <c r="C71" s="293" t="s">
        <v>98</v>
      </c>
      <c r="D71" s="93" t="s">
        <v>97</v>
      </c>
      <c r="E71" s="113"/>
      <c r="F71" s="62" t="s">
        <v>155</v>
      </c>
      <c r="G71" s="175"/>
      <c r="H71" s="175"/>
      <c r="I71" s="175"/>
      <c r="J71" s="175"/>
      <c r="K71" s="51">
        <f t="shared" si="0"/>
        <v>0</v>
      </c>
      <c r="L71" s="256"/>
    </row>
    <row r="72" spans="2:12" s="78" customFormat="1" ht="17.25" customHeight="1" x14ac:dyDescent="0.35">
      <c r="B72" s="268"/>
      <c r="C72" s="293"/>
      <c r="D72" s="95" t="s">
        <v>79</v>
      </c>
      <c r="E72" s="113"/>
      <c r="F72" s="62" t="s">
        <v>155</v>
      </c>
      <c r="G72" s="175"/>
      <c r="H72" s="175"/>
      <c r="I72" s="175"/>
      <c r="J72" s="175"/>
      <c r="K72" s="51">
        <f t="shared" si="0"/>
        <v>0</v>
      </c>
      <c r="L72" s="256"/>
    </row>
    <row r="73" spans="2:12" s="78" customFormat="1" ht="17.25" customHeight="1" x14ac:dyDescent="0.35">
      <c r="B73" s="376" t="s">
        <v>178</v>
      </c>
      <c r="C73" s="294" t="s">
        <v>80</v>
      </c>
      <c r="D73" s="94" t="s">
        <v>74</v>
      </c>
      <c r="E73" s="113"/>
      <c r="F73" s="62" t="s">
        <v>155</v>
      </c>
      <c r="G73" s="175"/>
      <c r="H73" s="175"/>
      <c r="I73" s="175"/>
      <c r="J73" s="175"/>
      <c r="K73" s="51">
        <f t="shared" si="0"/>
        <v>0</v>
      </c>
      <c r="L73" s="231">
        <f>SUM(K73:K80)</f>
        <v>0</v>
      </c>
    </row>
    <row r="74" spans="2:12" s="78" customFormat="1" ht="17.25" customHeight="1" x14ac:dyDescent="0.35">
      <c r="B74" s="377"/>
      <c r="C74" s="294"/>
      <c r="D74" s="94" t="s">
        <v>75</v>
      </c>
      <c r="E74" s="113"/>
      <c r="F74" s="62" t="s">
        <v>155</v>
      </c>
      <c r="G74" s="175"/>
      <c r="H74" s="175"/>
      <c r="I74" s="175"/>
      <c r="J74" s="175"/>
      <c r="K74" s="51">
        <f t="shared" si="0"/>
        <v>0</v>
      </c>
      <c r="L74" s="232"/>
    </row>
    <row r="75" spans="2:12" s="78" customFormat="1" ht="17.25" customHeight="1" x14ac:dyDescent="0.35">
      <c r="B75" s="377"/>
      <c r="C75" s="294" t="s">
        <v>81</v>
      </c>
      <c r="D75" s="94" t="s">
        <v>74</v>
      </c>
      <c r="E75" s="113"/>
      <c r="F75" s="62" t="s">
        <v>155</v>
      </c>
      <c r="G75" s="175"/>
      <c r="H75" s="175"/>
      <c r="I75" s="175"/>
      <c r="J75" s="175"/>
      <c r="K75" s="51">
        <f t="shared" si="0"/>
        <v>0</v>
      </c>
      <c r="L75" s="232"/>
    </row>
    <row r="76" spans="2:12" s="78" customFormat="1" ht="17.25" customHeight="1" x14ac:dyDescent="0.35">
      <c r="B76" s="377"/>
      <c r="C76" s="294"/>
      <c r="D76" s="94" t="s">
        <v>75</v>
      </c>
      <c r="E76" s="113"/>
      <c r="F76" s="62" t="s">
        <v>155</v>
      </c>
      <c r="G76" s="175"/>
      <c r="H76" s="175"/>
      <c r="I76" s="175"/>
      <c r="J76" s="175"/>
      <c r="K76" s="51">
        <f t="shared" si="0"/>
        <v>0</v>
      </c>
      <c r="L76" s="232"/>
    </row>
    <row r="77" spans="2:12" s="78" customFormat="1" ht="17.25" customHeight="1" x14ac:dyDescent="0.35">
      <c r="B77" s="377"/>
      <c r="C77" s="214" t="s">
        <v>240</v>
      </c>
      <c r="D77" s="215"/>
      <c r="E77" s="113"/>
      <c r="F77" s="62" t="s">
        <v>155</v>
      </c>
      <c r="G77" s="175"/>
      <c r="H77" s="175"/>
      <c r="I77" s="175"/>
      <c r="J77" s="175"/>
      <c r="K77" s="51">
        <f t="shared" si="0"/>
        <v>0</v>
      </c>
      <c r="L77" s="232"/>
    </row>
    <row r="78" spans="2:12" s="78" customFormat="1" ht="17.25" customHeight="1" x14ac:dyDescent="0.35">
      <c r="B78" s="377"/>
      <c r="C78" s="216" t="s">
        <v>238</v>
      </c>
      <c r="D78" s="172" t="s">
        <v>74</v>
      </c>
      <c r="E78" s="113"/>
      <c r="F78" s="62" t="s">
        <v>155</v>
      </c>
      <c r="G78" s="175"/>
      <c r="H78" s="175"/>
      <c r="I78" s="175"/>
      <c r="J78" s="175"/>
      <c r="K78" s="51">
        <f t="shared" si="0"/>
        <v>0</v>
      </c>
      <c r="L78" s="232"/>
    </row>
    <row r="79" spans="2:12" s="78" customFormat="1" ht="17.25" customHeight="1" x14ac:dyDescent="0.35">
      <c r="B79" s="377"/>
      <c r="C79" s="217"/>
      <c r="D79" s="172" t="s">
        <v>239</v>
      </c>
      <c r="E79" s="113"/>
      <c r="F79" s="62" t="s">
        <v>155</v>
      </c>
      <c r="G79" s="175"/>
      <c r="H79" s="175"/>
      <c r="I79" s="175"/>
      <c r="J79" s="175"/>
      <c r="K79" s="51">
        <f t="shared" si="0"/>
        <v>0</v>
      </c>
      <c r="L79" s="232"/>
    </row>
    <row r="80" spans="2:12" s="78" customFormat="1" ht="17.25" customHeight="1" x14ac:dyDescent="0.35">
      <c r="B80" s="378"/>
      <c r="C80" s="218"/>
      <c r="D80" s="172" t="s">
        <v>75</v>
      </c>
      <c r="E80" s="113"/>
      <c r="F80" s="62" t="s">
        <v>155</v>
      </c>
      <c r="G80" s="175"/>
      <c r="H80" s="175"/>
      <c r="I80" s="175"/>
      <c r="J80" s="175"/>
      <c r="K80" s="51">
        <f t="shared" si="0"/>
        <v>0</v>
      </c>
      <c r="L80" s="233"/>
    </row>
    <row r="81" spans="2:12" s="78" customFormat="1" ht="17.25" customHeight="1" x14ac:dyDescent="0.35">
      <c r="B81" s="339" t="s">
        <v>180</v>
      </c>
      <c r="C81" s="288" t="s">
        <v>68</v>
      </c>
      <c r="D81" s="334"/>
      <c r="E81" s="113"/>
      <c r="F81" s="139" t="s">
        <v>155</v>
      </c>
      <c r="G81" s="175"/>
      <c r="H81" s="175"/>
      <c r="I81" s="175"/>
      <c r="J81" s="175"/>
      <c r="K81" s="51">
        <f t="shared" si="0"/>
        <v>0</v>
      </c>
      <c r="L81" s="256">
        <f>SUM(K81:K82)</f>
        <v>0</v>
      </c>
    </row>
    <row r="82" spans="2:12" s="78" customFormat="1" ht="17.25" customHeight="1" x14ac:dyDescent="0.35">
      <c r="B82" s="268"/>
      <c r="C82" s="288" t="s">
        <v>102</v>
      </c>
      <c r="D82" s="288"/>
      <c r="E82" s="140"/>
      <c r="F82" s="62" t="s">
        <v>155</v>
      </c>
      <c r="G82" s="175"/>
      <c r="H82" s="175"/>
      <c r="I82" s="175"/>
      <c r="J82" s="175"/>
      <c r="K82" s="51">
        <f t="shared" si="0"/>
        <v>0</v>
      </c>
      <c r="L82" s="256"/>
    </row>
    <row r="83" spans="2:12" s="78" customFormat="1" ht="17.25" customHeight="1" x14ac:dyDescent="0.35">
      <c r="B83" s="339" t="s">
        <v>181</v>
      </c>
      <c r="C83" s="400" t="s">
        <v>101</v>
      </c>
      <c r="D83" s="401"/>
      <c r="E83" s="401"/>
      <c r="F83" s="402"/>
      <c r="G83" s="175"/>
      <c r="H83" s="175"/>
      <c r="I83" s="175"/>
      <c r="J83" s="175"/>
      <c r="K83" s="51">
        <f t="shared" si="0"/>
        <v>0</v>
      </c>
      <c r="L83" s="256">
        <f>SUM(K83:K84)</f>
        <v>0</v>
      </c>
    </row>
    <row r="84" spans="2:12" s="78" customFormat="1" ht="17.25" customHeight="1" thickBot="1" x14ac:dyDescent="0.4">
      <c r="B84" s="269"/>
      <c r="C84" s="403" t="s">
        <v>66</v>
      </c>
      <c r="D84" s="404"/>
      <c r="E84" s="404"/>
      <c r="F84" s="405"/>
      <c r="G84" s="176"/>
      <c r="H84" s="176"/>
      <c r="I84" s="176"/>
      <c r="J84" s="176"/>
      <c r="K84" s="56">
        <f t="shared" si="0"/>
        <v>0</v>
      </c>
      <c r="L84" s="257"/>
    </row>
    <row r="85" spans="2:12" s="96" customFormat="1" ht="20.5" customHeight="1" x14ac:dyDescent="0.35">
      <c r="B85" s="392" t="s">
        <v>116</v>
      </c>
      <c r="C85" s="393"/>
      <c r="D85" s="393"/>
      <c r="E85" s="393"/>
      <c r="F85" s="393"/>
      <c r="G85" s="393"/>
      <c r="H85" s="393"/>
      <c r="I85" s="393"/>
      <c r="J85" s="394"/>
      <c r="K85" s="395">
        <f>SUM(K46:K84)</f>
        <v>0</v>
      </c>
      <c r="L85" s="396"/>
    </row>
    <row r="86" spans="2:12" s="96" customFormat="1" ht="14.5" customHeight="1" x14ac:dyDescent="0.35">
      <c r="B86" s="352" t="s">
        <v>182</v>
      </c>
      <c r="C86" s="212" t="s">
        <v>105</v>
      </c>
      <c r="D86" s="354"/>
      <c r="E86" s="354"/>
      <c r="F86" s="354"/>
      <c r="G86" s="354"/>
      <c r="H86" s="355"/>
      <c r="I86" s="359" t="s">
        <v>10</v>
      </c>
      <c r="J86" s="360"/>
      <c r="K86" s="361" t="s">
        <v>11</v>
      </c>
      <c r="L86" s="361"/>
    </row>
    <row r="87" spans="2:12" s="78" customFormat="1" ht="20.5" customHeight="1" thickBot="1" x14ac:dyDescent="0.4">
      <c r="B87" s="353"/>
      <c r="C87" s="213"/>
      <c r="D87" s="356"/>
      <c r="E87" s="356"/>
      <c r="F87" s="356"/>
      <c r="G87" s="356"/>
      <c r="H87" s="357"/>
      <c r="I87" s="358"/>
      <c r="J87" s="358"/>
      <c r="K87" s="358"/>
      <c r="L87" s="358"/>
    </row>
    <row r="88" spans="2:12" s="96" customFormat="1" ht="21.65" customHeight="1" thickBot="1" x14ac:dyDescent="0.4">
      <c r="B88" s="387" t="s">
        <v>110</v>
      </c>
      <c r="C88" s="388"/>
      <c r="D88" s="388"/>
      <c r="E88" s="388"/>
      <c r="F88" s="388"/>
      <c r="G88" s="388"/>
      <c r="H88" s="388"/>
      <c r="I88" s="388"/>
      <c r="J88" s="389"/>
      <c r="K88" s="390">
        <f>IFERROR(+K87+K85,)</f>
        <v>0</v>
      </c>
      <c r="L88" s="391"/>
    </row>
    <row r="89" spans="2:12" s="78" customFormat="1" ht="7" customHeight="1" x14ac:dyDescent="0.35">
      <c r="B89" s="97"/>
      <c r="C89" s="97"/>
      <c r="D89" s="97"/>
      <c r="E89" s="97"/>
      <c r="F89" s="97"/>
      <c r="G89" s="97"/>
      <c r="H89" s="97"/>
      <c r="I89" s="97"/>
      <c r="J89" s="97"/>
      <c r="K89" s="97"/>
      <c r="L89" s="97"/>
    </row>
    <row r="90" spans="2:12" s="78" customFormat="1" ht="15.75" customHeight="1" x14ac:dyDescent="0.35">
      <c r="B90" s="397" t="s">
        <v>40</v>
      </c>
      <c r="C90" s="398"/>
      <c r="D90" s="398"/>
      <c r="E90" s="398"/>
      <c r="F90" s="398"/>
      <c r="G90" s="398"/>
      <c r="H90" s="398"/>
      <c r="I90" s="398"/>
      <c r="J90" s="398"/>
      <c r="K90" s="398"/>
      <c r="L90" s="399"/>
    </row>
    <row r="91" spans="2:12" s="78" customFormat="1" ht="61.5" customHeight="1" x14ac:dyDescent="0.35">
      <c r="B91" s="349" t="s">
        <v>257</v>
      </c>
      <c r="C91" s="350"/>
      <c r="D91" s="350"/>
      <c r="E91" s="350"/>
      <c r="F91" s="350"/>
      <c r="G91" s="350"/>
      <c r="H91" s="350"/>
      <c r="I91" s="350"/>
      <c r="J91" s="350"/>
      <c r="K91" s="350"/>
      <c r="L91" s="351"/>
    </row>
    <row r="92" spans="2:12" s="78" customFormat="1" ht="37.5" customHeight="1" x14ac:dyDescent="0.35">
      <c r="B92" s="381" t="s">
        <v>67</v>
      </c>
      <c r="C92" s="382"/>
      <c r="D92" s="382"/>
      <c r="E92" s="382"/>
      <c r="F92" s="382"/>
      <c r="G92" s="382"/>
      <c r="H92" s="382"/>
      <c r="I92" s="382"/>
      <c r="J92" s="382"/>
      <c r="K92" s="382"/>
      <c r="L92" s="383"/>
    </row>
    <row r="93" spans="2:12" s="78" customFormat="1" ht="7" customHeight="1" x14ac:dyDescent="0.35">
      <c r="B93" s="97"/>
      <c r="C93" s="97"/>
      <c r="D93" s="97"/>
      <c r="E93" s="97"/>
      <c r="F93" s="97"/>
      <c r="G93" s="97"/>
      <c r="H93" s="97"/>
      <c r="I93" s="97"/>
      <c r="J93" s="97"/>
      <c r="K93" s="97"/>
      <c r="L93" s="97"/>
    </row>
    <row r="94" spans="2:12" s="78" customFormat="1" ht="18.5" hidden="1" x14ac:dyDescent="0.45">
      <c r="B94" s="384" t="s">
        <v>126</v>
      </c>
      <c r="C94" s="385"/>
      <c r="D94" s="385"/>
      <c r="E94" s="385"/>
      <c r="F94" s="385"/>
      <c r="G94" s="385"/>
      <c r="H94" s="385"/>
      <c r="I94" s="385"/>
      <c r="J94" s="385"/>
      <c r="K94" s="385"/>
      <c r="L94" s="386"/>
    </row>
    <row r="95" spans="2:12" s="78" customFormat="1" ht="19" customHeight="1" x14ac:dyDescent="0.35">
      <c r="B95" s="331" t="s">
        <v>127</v>
      </c>
      <c r="C95" s="332"/>
      <c r="D95" s="332"/>
      <c r="E95" s="332"/>
      <c r="F95" s="332"/>
      <c r="G95" s="332"/>
      <c r="H95" s="332"/>
      <c r="I95" s="332"/>
      <c r="J95" s="332"/>
      <c r="K95" s="332"/>
      <c r="L95" s="333"/>
    </row>
    <row r="96" spans="2:12" s="78" customFormat="1" ht="42" customHeight="1" x14ac:dyDescent="0.35">
      <c r="B96" s="329" t="s">
        <v>216</v>
      </c>
      <c r="C96" s="329"/>
      <c r="D96" s="329"/>
      <c r="E96" s="329"/>
      <c r="F96" s="329"/>
      <c r="G96" s="330"/>
      <c r="H96" s="328"/>
      <c r="I96" s="328"/>
      <c r="J96" s="328"/>
      <c r="K96" s="328"/>
      <c r="L96" s="138" t="s">
        <v>72</v>
      </c>
    </row>
    <row r="97" spans="2:12" s="78" customFormat="1" ht="41.25" customHeight="1" x14ac:dyDescent="0.35">
      <c r="B97" s="327" t="s">
        <v>209</v>
      </c>
      <c r="C97" s="327"/>
      <c r="D97" s="327"/>
      <c r="E97" s="327"/>
      <c r="F97" s="327"/>
      <c r="G97" s="328"/>
      <c r="H97" s="328"/>
      <c r="I97" s="328"/>
      <c r="J97" s="328"/>
      <c r="K97" s="328"/>
      <c r="L97" s="138" t="s">
        <v>72</v>
      </c>
    </row>
    <row r="98" spans="2:12" s="78" customFormat="1" ht="39" customHeight="1" x14ac:dyDescent="0.35">
      <c r="B98" s="329" t="s">
        <v>211</v>
      </c>
      <c r="C98" s="329"/>
      <c r="D98" s="329"/>
      <c r="E98" s="329"/>
      <c r="F98" s="329"/>
      <c r="G98" s="330"/>
      <c r="H98" s="328"/>
      <c r="I98" s="328"/>
      <c r="J98" s="328"/>
      <c r="K98" s="328"/>
      <c r="L98" s="138" t="s">
        <v>72</v>
      </c>
    </row>
    <row r="99" spans="2:12" s="78" customFormat="1" ht="51.75" customHeight="1" x14ac:dyDescent="0.35">
      <c r="B99" s="329" t="s">
        <v>210</v>
      </c>
      <c r="C99" s="329"/>
      <c r="D99" s="329"/>
      <c r="E99" s="329"/>
      <c r="F99" s="329"/>
      <c r="G99" s="330"/>
      <c r="H99" s="328"/>
      <c r="I99" s="328"/>
      <c r="J99" s="328"/>
      <c r="K99" s="328"/>
      <c r="L99" s="138" t="s">
        <v>72</v>
      </c>
    </row>
    <row r="100" spans="2:12" s="78" customFormat="1" ht="51.75" customHeight="1" x14ac:dyDescent="0.35">
      <c r="B100" s="327" t="s">
        <v>212</v>
      </c>
      <c r="C100" s="327"/>
      <c r="D100" s="327"/>
      <c r="E100" s="327"/>
      <c r="F100" s="327"/>
      <c r="G100" s="328"/>
      <c r="H100" s="328"/>
      <c r="I100" s="328"/>
      <c r="J100" s="328"/>
      <c r="K100" s="328"/>
      <c r="L100" s="138" t="s">
        <v>72</v>
      </c>
    </row>
    <row r="101" spans="2:12" s="78" customFormat="1" ht="51.75" customHeight="1" x14ac:dyDescent="0.35">
      <c r="B101" s="327" t="s">
        <v>213</v>
      </c>
      <c r="C101" s="327"/>
      <c r="D101" s="327"/>
      <c r="E101" s="327"/>
      <c r="F101" s="327"/>
      <c r="G101" s="328"/>
      <c r="H101" s="328"/>
      <c r="I101" s="328"/>
      <c r="J101" s="328"/>
      <c r="K101" s="328"/>
      <c r="L101" s="138" t="s">
        <v>72</v>
      </c>
    </row>
    <row r="102" spans="2:12" s="78" customFormat="1" ht="39" customHeight="1" x14ac:dyDescent="0.35">
      <c r="B102" s="327" t="s">
        <v>214</v>
      </c>
      <c r="C102" s="327"/>
      <c r="D102" s="327"/>
      <c r="E102" s="327"/>
      <c r="F102" s="327"/>
      <c r="G102" s="327"/>
      <c r="H102" s="328"/>
      <c r="I102" s="328"/>
      <c r="J102" s="328"/>
      <c r="K102" s="328"/>
      <c r="L102" s="138" t="s">
        <v>72</v>
      </c>
    </row>
    <row r="103" spans="2:12" s="78" customFormat="1" ht="51.75" customHeight="1" x14ac:dyDescent="0.35">
      <c r="B103" s="329" t="s">
        <v>215</v>
      </c>
      <c r="C103" s="329"/>
      <c r="D103" s="329"/>
      <c r="E103" s="329"/>
      <c r="F103" s="329"/>
      <c r="G103" s="330"/>
      <c r="H103" s="328"/>
      <c r="I103" s="328"/>
      <c r="J103" s="328"/>
      <c r="K103" s="328"/>
      <c r="L103" s="138" t="s">
        <v>72</v>
      </c>
    </row>
    <row r="104" spans="2:12" s="17" customFormat="1" ht="5.5" customHeight="1" x14ac:dyDescent="0.35">
      <c r="B104" s="36"/>
      <c r="C104" s="36"/>
      <c r="D104" s="36"/>
      <c r="E104" s="36"/>
      <c r="F104" s="36"/>
      <c r="G104" s="37"/>
      <c r="H104" s="44"/>
      <c r="I104" s="44"/>
      <c r="J104" s="44"/>
      <c r="K104" s="44"/>
      <c r="L104" s="44"/>
    </row>
    <row r="105" spans="2:12" s="76" customFormat="1" ht="20.5" customHeight="1" x14ac:dyDescent="0.3">
      <c r="B105" s="114"/>
      <c r="C105" s="76" t="s">
        <v>131</v>
      </c>
      <c r="D105" s="87"/>
      <c r="E105" s="87"/>
      <c r="F105" s="87"/>
      <c r="G105" s="87"/>
      <c r="H105" s="87"/>
      <c r="I105" s="87"/>
      <c r="J105" s="87"/>
      <c r="K105" s="87"/>
      <c r="L105" s="87"/>
    </row>
    <row r="106" spans="2:12" s="76" customFormat="1" ht="12.75" customHeight="1" x14ac:dyDescent="0.3">
      <c r="B106" s="87"/>
      <c r="C106" s="87"/>
      <c r="D106" s="87"/>
      <c r="E106" s="87"/>
      <c r="F106" s="87"/>
      <c r="G106" s="87"/>
      <c r="H106" s="87"/>
      <c r="I106" s="87"/>
      <c r="J106" s="87"/>
      <c r="K106" s="87"/>
      <c r="L106" s="87"/>
    </row>
    <row r="107" spans="2:12" s="76" customFormat="1" ht="13" x14ac:dyDescent="0.3">
      <c r="B107" s="87"/>
      <c r="C107" s="379"/>
      <c r="D107" s="379"/>
      <c r="E107" s="379"/>
      <c r="F107" s="87"/>
      <c r="G107" s="87"/>
      <c r="H107" s="379"/>
      <c r="I107" s="379"/>
      <c r="J107" s="379"/>
      <c r="K107" s="379"/>
      <c r="L107" s="87"/>
    </row>
    <row r="108" spans="2:12" s="90" customFormat="1" ht="13" x14ac:dyDescent="0.3">
      <c r="B108" s="91"/>
      <c r="C108" s="324" t="str">
        <f>IF(ISBLANK(E4),"",E4)</f>
        <v/>
      </c>
      <c r="D108" s="324"/>
      <c r="E108" s="324"/>
      <c r="F108" s="91"/>
      <c r="G108" s="91"/>
      <c r="H108" s="324" t="str">
        <f>IF(ISBLANK(E9),"",E9)</f>
        <v/>
      </c>
      <c r="I108" s="324"/>
      <c r="J108" s="324"/>
      <c r="K108" s="324"/>
      <c r="L108" s="91"/>
    </row>
    <row r="109" spans="2:12" s="76" customFormat="1" ht="13" x14ac:dyDescent="0.3">
      <c r="B109" s="87"/>
      <c r="C109" s="325" t="s">
        <v>129</v>
      </c>
      <c r="D109" s="325"/>
      <c r="E109" s="325"/>
      <c r="F109" s="87"/>
      <c r="G109" s="87"/>
      <c r="H109" s="325" t="s">
        <v>128</v>
      </c>
      <c r="I109" s="325"/>
      <c r="J109" s="325"/>
      <c r="K109" s="325"/>
      <c r="L109" s="87"/>
    </row>
    <row r="110" spans="2:12" s="78" customFormat="1" ht="13" x14ac:dyDescent="0.35">
      <c r="B110" s="340" t="s">
        <v>19</v>
      </c>
      <c r="C110" s="340"/>
      <c r="D110" s="340"/>
      <c r="E110" s="340"/>
      <c r="F110" s="340"/>
      <c r="G110" s="340"/>
      <c r="H110" s="340"/>
      <c r="I110" s="340"/>
      <c r="J110" s="340"/>
      <c r="K110" s="340"/>
      <c r="L110" s="340"/>
    </row>
    <row r="111" spans="2:12" s="76" customFormat="1" ht="27.75" customHeight="1" x14ac:dyDescent="0.3">
      <c r="B111" s="87"/>
      <c r="C111" s="92"/>
      <c r="D111" s="92"/>
      <c r="E111" s="92"/>
      <c r="F111" s="87"/>
      <c r="G111" s="87"/>
      <c r="H111" s="92"/>
      <c r="I111" s="92"/>
      <c r="J111" s="92"/>
      <c r="K111" s="92"/>
      <c r="L111" s="87"/>
    </row>
    <row r="112" spans="2:12" s="76" customFormat="1" ht="13" x14ac:dyDescent="0.3">
      <c r="B112" s="87"/>
      <c r="C112" s="379"/>
      <c r="D112" s="379"/>
      <c r="E112" s="379"/>
      <c r="F112" s="87"/>
      <c r="G112" s="87"/>
      <c r="H112" s="379"/>
      <c r="I112" s="379"/>
      <c r="J112" s="379"/>
      <c r="K112" s="379"/>
      <c r="L112" s="87"/>
    </row>
    <row r="113" spans="2:12" s="76" customFormat="1" ht="13" x14ac:dyDescent="0.3">
      <c r="B113" s="87"/>
      <c r="C113" s="323" t="s">
        <v>16</v>
      </c>
      <c r="D113" s="323"/>
      <c r="E113" s="323"/>
      <c r="F113" s="87"/>
      <c r="G113" s="87"/>
      <c r="H113" s="323" t="s">
        <v>16</v>
      </c>
      <c r="I113" s="323"/>
      <c r="J113" s="323"/>
      <c r="K113" s="323"/>
      <c r="L113" s="87"/>
    </row>
    <row r="114" spans="2:12" s="76" customFormat="1" ht="13" x14ac:dyDescent="0.3">
      <c r="B114" s="87"/>
      <c r="C114" s="380"/>
      <c r="D114" s="380"/>
      <c r="E114" s="380"/>
      <c r="F114" s="87"/>
      <c r="G114" s="87"/>
      <c r="H114" s="380"/>
      <c r="I114" s="380"/>
      <c r="J114" s="380"/>
      <c r="K114" s="380"/>
      <c r="L114" s="87"/>
    </row>
    <row r="115" spans="2:12" s="76" customFormat="1" ht="13" x14ac:dyDescent="0.3">
      <c r="B115" s="87"/>
      <c r="C115" s="323" t="s">
        <v>17</v>
      </c>
      <c r="D115" s="323"/>
      <c r="E115" s="323"/>
      <c r="F115" s="87"/>
      <c r="G115" s="87"/>
      <c r="H115" s="323" t="s">
        <v>17</v>
      </c>
      <c r="I115" s="323"/>
      <c r="J115" s="323"/>
      <c r="K115" s="323"/>
      <c r="L115" s="87"/>
    </row>
    <row r="116" spans="2:12" s="76" customFormat="1" ht="13" x14ac:dyDescent="0.3">
      <c r="B116" s="87"/>
      <c r="C116" s="380"/>
      <c r="D116" s="380"/>
      <c r="E116" s="380"/>
      <c r="F116" s="87"/>
      <c r="G116" s="87"/>
      <c r="H116" s="380"/>
      <c r="I116" s="380"/>
      <c r="J116" s="380"/>
      <c r="K116" s="380"/>
      <c r="L116" s="87"/>
    </row>
    <row r="117" spans="2:12" s="76" customFormat="1" ht="13" x14ac:dyDescent="0.3">
      <c r="B117" s="87"/>
      <c r="C117" s="323" t="s">
        <v>18</v>
      </c>
      <c r="D117" s="323"/>
      <c r="E117" s="323"/>
      <c r="F117" s="87"/>
      <c r="G117" s="87"/>
      <c r="H117" s="323" t="s">
        <v>18</v>
      </c>
      <c r="I117" s="323"/>
      <c r="J117" s="323"/>
      <c r="K117" s="323"/>
      <c r="L117" s="87"/>
    </row>
    <row r="126" spans="2:12" x14ac:dyDescent="0.35"/>
    <row r="127" spans="2:12" x14ac:dyDescent="0.35"/>
    <row r="128" spans="2:12" x14ac:dyDescent="0.35"/>
    <row r="131" x14ac:dyDescent="0.35"/>
  </sheetData>
  <sheetProtection algorithmName="SHA-512" hashValue="ZYnL6/b3q8vON2Db13BCXfYGACahG3Sx2kgMqH6dk8YDVezlHeJJK4zop1suRSSBWCQWzoQd9csHXdJBPDX1Lw==" saltValue="/Vp7K+mAfZ/Gf0rOaBbtkw==" spinCount="100000" sheet="1" selectLockedCells="1"/>
  <protectedRanges>
    <protectedRange sqref="K81:K84 K46:K49 K68:L80 K50:L67 G46:J84" name="Tartomány2_1"/>
    <protectedRange sqref="G68:J84 K81:K84 K46:K49 K68:L80 K50:L67 G46:J67" name="Tartomány1_1"/>
    <protectedRange sqref="E50:E82" name="Tartomány2_2"/>
    <protectedRange sqref="E50:E82" name="Tartomány1_2"/>
    <protectedRange sqref="L46:L49 L81:L84" name="Tartomány2_5"/>
    <protectedRange sqref="D88 D85" name="Tartomány1_5"/>
    <protectedRange sqref="G87:I87 K87" name="Tartomány2_1_1"/>
    <protectedRange sqref="G87:I87 K87" name="Tartomány1_1_1"/>
    <protectedRange sqref="D86" name="Tartomány1_5_1"/>
    <protectedRange sqref="E48:E49" name="Tartomány2_2_1"/>
    <protectedRange sqref="E48:E49" name="Tartomány1_2_1"/>
  </protectedRanges>
  <dataConsolidate/>
  <mergeCells count="121">
    <mergeCell ref="B33:C33"/>
    <mergeCell ref="C83:F83"/>
    <mergeCell ref="C84:F84"/>
    <mergeCell ref="B44:D45"/>
    <mergeCell ref="E44:E45"/>
    <mergeCell ref="F44:F45"/>
    <mergeCell ref="G44:H44"/>
    <mergeCell ref="I44:J44"/>
    <mergeCell ref="K44:L45"/>
    <mergeCell ref="C59:C61"/>
    <mergeCell ref="C62:C63"/>
    <mergeCell ref="C64:C65"/>
    <mergeCell ref="C66:C67"/>
    <mergeCell ref="H117:K117"/>
    <mergeCell ref="B36:L36"/>
    <mergeCell ref="B81:B82"/>
    <mergeCell ref="B83:B84"/>
    <mergeCell ref="B73:B80"/>
    <mergeCell ref="L73:L80"/>
    <mergeCell ref="C107:E107"/>
    <mergeCell ref="H107:K107"/>
    <mergeCell ref="C108:E108"/>
    <mergeCell ref="C114:E114"/>
    <mergeCell ref="H114:K114"/>
    <mergeCell ref="C115:E115"/>
    <mergeCell ref="H115:K115"/>
    <mergeCell ref="C116:E116"/>
    <mergeCell ref="H116:K116"/>
    <mergeCell ref="B92:L92"/>
    <mergeCell ref="B94:L94"/>
    <mergeCell ref="B88:J88"/>
    <mergeCell ref="K88:L88"/>
    <mergeCell ref="B85:J85"/>
    <mergeCell ref="K85:L85"/>
    <mergeCell ref="C112:E112"/>
    <mergeCell ref="H112:K112"/>
    <mergeCell ref="B90:L90"/>
    <mergeCell ref="E18:J18"/>
    <mergeCell ref="B19:D19"/>
    <mergeCell ref="E19:J19"/>
    <mergeCell ref="B31:C31"/>
    <mergeCell ref="B32:C32"/>
    <mergeCell ref="D30:E30"/>
    <mergeCell ref="D31:E31"/>
    <mergeCell ref="D32:E32"/>
    <mergeCell ref="B21:L21"/>
    <mergeCell ref="B23:L23"/>
    <mergeCell ref="B27:L27"/>
    <mergeCell ref="B29:L29"/>
    <mergeCell ref="K87:L87"/>
    <mergeCell ref="C47:F47"/>
    <mergeCell ref="C46:F46"/>
    <mergeCell ref="I86:J86"/>
    <mergeCell ref="K86:L86"/>
    <mergeCell ref="B1:J1"/>
    <mergeCell ref="B12:D12"/>
    <mergeCell ref="E12:J12"/>
    <mergeCell ref="B9:D9"/>
    <mergeCell ref="E9:J9"/>
    <mergeCell ref="B10:D10"/>
    <mergeCell ref="E10:J10"/>
    <mergeCell ref="B2:J2"/>
    <mergeCell ref="B4:D4"/>
    <mergeCell ref="E4:J4"/>
    <mergeCell ref="B6:D6"/>
    <mergeCell ref="E6:J6"/>
    <mergeCell ref="B5:D5"/>
    <mergeCell ref="E5:J5"/>
    <mergeCell ref="B11:D11"/>
    <mergeCell ref="E11:J11"/>
    <mergeCell ref="B7:D7"/>
    <mergeCell ref="E7:J7"/>
    <mergeCell ref="B18:D18"/>
    <mergeCell ref="H113:K113"/>
    <mergeCell ref="B13:D13"/>
    <mergeCell ref="E13:J13"/>
    <mergeCell ref="D33:E33"/>
    <mergeCell ref="L83:L84"/>
    <mergeCell ref="C68:C70"/>
    <mergeCell ref="C71:C72"/>
    <mergeCell ref="C73:C74"/>
    <mergeCell ref="C75:C76"/>
    <mergeCell ref="B50:B72"/>
    <mergeCell ref="B110:L110"/>
    <mergeCell ref="B14:L14"/>
    <mergeCell ref="B15:L15"/>
    <mergeCell ref="B17:L17"/>
    <mergeCell ref="B43:C43"/>
    <mergeCell ref="B46:B49"/>
    <mergeCell ref="L46:L49"/>
    <mergeCell ref="C48:C49"/>
    <mergeCell ref="C77:D77"/>
    <mergeCell ref="C78:C80"/>
    <mergeCell ref="B91:L91"/>
    <mergeCell ref="B86:B87"/>
    <mergeCell ref="C86:H87"/>
    <mergeCell ref="I87:J87"/>
    <mergeCell ref="C117:E117"/>
    <mergeCell ref="H108:K108"/>
    <mergeCell ref="C109:E109"/>
    <mergeCell ref="H109:K109"/>
    <mergeCell ref="B38:L38"/>
    <mergeCell ref="B40:L40"/>
    <mergeCell ref="B41:L41"/>
    <mergeCell ref="C50:C52"/>
    <mergeCell ref="L50:L72"/>
    <mergeCell ref="C53:C55"/>
    <mergeCell ref="C56:C58"/>
    <mergeCell ref="B102:K102"/>
    <mergeCell ref="B103:K103"/>
    <mergeCell ref="B95:L95"/>
    <mergeCell ref="B96:K96"/>
    <mergeCell ref="B97:K97"/>
    <mergeCell ref="B98:K98"/>
    <mergeCell ref="B99:K99"/>
    <mergeCell ref="B100:K100"/>
    <mergeCell ref="B101:K101"/>
    <mergeCell ref="C113:E113"/>
    <mergeCell ref="C81:D81"/>
    <mergeCell ref="L81:L82"/>
    <mergeCell ref="C82:D82"/>
  </mergeCells>
  <conditionalFormatting sqref="B91">
    <cfRule type="containsBlanks" dxfId="64" priority="94">
      <formula>LEN(TRIM(B91))=0</formula>
    </cfRule>
  </conditionalFormatting>
  <conditionalFormatting sqref="C114:E114 H114:K114 C116:E116 H116:K116">
    <cfRule type="containsBlanks" dxfId="63" priority="83">
      <formula>LEN(TRIM(C114))=0</formula>
    </cfRule>
  </conditionalFormatting>
  <conditionalFormatting sqref="D31:E33">
    <cfRule type="containsBlanks" dxfId="62" priority="84">
      <formula>LEN(TRIM(D31))=0</formula>
    </cfRule>
  </conditionalFormatting>
  <conditionalFormatting sqref="E48:E49">
    <cfRule type="containsBlanks" dxfId="60" priority="2">
      <formula>LEN(TRIM(E48))=0</formula>
    </cfRule>
  </conditionalFormatting>
  <conditionalFormatting sqref="E5:J7 E9:J13">
    <cfRule type="containsBlanks" dxfId="56" priority="87">
      <formula>LEN(TRIM(E5))=0</formula>
    </cfRule>
  </conditionalFormatting>
  <conditionalFormatting sqref="G46:J84 E50:E82 B105">
    <cfRule type="containsBlanks" dxfId="54" priority="81">
      <formula>LEN(TRIM(B46))=0</formula>
    </cfRule>
  </conditionalFormatting>
  <conditionalFormatting sqref="I87:L87">
    <cfRule type="containsBlanks" dxfId="53" priority="80">
      <formula>LEN(TRIM(I87))=0</formula>
    </cfRule>
  </conditionalFormatting>
  <conditionalFormatting sqref="L96:L103">
    <cfRule type="cellIs" dxfId="52" priority="77" operator="equal">
      <formula>"Nem"</formula>
    </cfRule>
    <cfRule type="containsBlanks" dxfId="51" priority="88">
      <formula>LEN(TRIM(L96))=0</formula>
    </cfRule>
  </conditionalFormatting>
  <dataValidations count="9">
    <dataValidation type="decimal" allowBlank="1" showInputMessage="1" showErrorMessage="1" sqref="L46 L83 L81 I73:I74 G46:G84" xr:uid="{00000000-0002-0000-0200-000000000000}">
      <formula1>0</formula1>
      <formula2>10000000000</formula2>
    </dataValidation>
    <dataValidation type="whole" allowBlank="1" showInputMessage="1" showErrorMessage="1" sqref="L50 K87 I87 K75:K84 K46:K72" xr:uid="{00000000-0002-0000-0200-000001000000}">
      <formula1>0</formula1>
      <formula2>10000000000</formula2>
    </dataValidation>
    <dataValidation type="whole" allowBlank="1" showInputMessage="1" showErrorMessage="1" sqref="L73" xr:uid="{00000000-0002-0000-0200-000002000000}">
      <formula1>0</formula1>
      <formula2>100000000</formula2>
    </dataValidation>
    <dataValidation allowBlank="1" sqref="K73:K74" xr:uid="{00000000-0002-0000-0200-000005000000}"/>
    <dataValidation type="list" allowBlank="1" showInputMessage="1" showErrorMessage="1" sqref="L99:L101" xr:uid="{00000000-0002-0000-0200-000008000000}">
      <formula1>"Igen,Nem, Nem releváns"</formula1>
    </dataValidation>
    <dataValidation operator="lessThanOrEqual" allowBlank="1" showErrorMessage="1" prompt="Rövid, tömör leírást kérünk adni a projekt megvalósításához szükséges engedélyekről. _x000a_" sqref="B91" xr:uid="{00000000-0002-0000-0200-000009000000}"/>
    <dataValidation type="list" allowBlank="1" showInputMessage="1" showErrorMessage="1" sqref="D33:E33 L96:L98 L102:L103" xr:uid="{00000000-0002-0000-0200-00000A000000}">
      <formula1>"Igen,Nem"</formula1>
    </dataValidation>
    <dataValidation type="list" allowBlank="1" showInputMessage="1" showErrorMessage="1" prompt="Kérem válasszon a legördülő listából." sqref="L101" xr:uid="{00000000-0002-0000-0200-00000B000000}">
      <formula1>"Igen,Nem"</formula1>
    </dataValidation>
    <dataValidation type="decimal" allowBlank="1" showInputMessage="1" showErrorMessage="1" sqref="E48:E82" xr:uid="{00000000-0002-0000-0200-000007000000}">
      <formula1>0</formula1>
      <formula2>1000000000</formula2>
    </dataValidation>
  </dataValidations>
  <printOptions horizontalCentered="1"/>
  <pageMargins left="0.31496062992125984" right="0.31496062992125984" top="0.47244094488188981" bottom="0.35433070866141736" header="0.31496062992125984" footer="0.31496062992125984"/>
  <pageSetup paperSize="9" scale="63" fitToHeight="0" orientation="portrait" horizontalDpi="4294967293" r:id="rId1"/>
  <headerFooter>
    <oddHeader>&amp;LMFB Zrt.&amp;C&amp;9KEHOP Plusz-4.1.7-24 OTTHONFELÚJÍTÁSI HITELPROGRAM - Vállalkozói szerződés&amp;R&amp;P.oldal</oddHeader>
  </headerFooter>
  <rowBreaks count="2" manualBreakCount="2">
    <brk id="42" max="16383" man="1"/>
    <brk id="89" max="16383" man="1"/>
  </rowBreaks>
  <extLst>
    <ext xmlns:x14="http://schemas.microsoft.com/office/spreadsheetml/2009/9/main" uri="{78C0D931-6437-407d-A8EE-F0AAD7539E65}">
      <x14:conditionalFormattings>
        <x14:conditionalFormatting xmlns:xm="http://schemas.microsoft.com/office/excel/2006/main">
          <x14:cfRule type="expression" priority="1" id="{7C474D56-71EE-4A51-BE9C-2380CC11274D}">
            <xm:f>'01_Költségvetés'!$N$5&lt;&gt;"Igen"</xm:f>
            <x14:dxf>
              <fill>
                <patternFill patternType="gray0625">
                  <bgColor theme="0"/>
                </patternFill>
              </fill>
            </x14:dxf>
          </x14:cfRule>
          <xm:sqref>E48:E49</xm:sqref>
        </x14:conditionalFormatting>
        <x14:conditionalFormatting xmlns:xm="http://schemas.microsoft.com/office/excel/2006/main">
          <x14:cfRule type="expression" priority="75" id="{112AC71D-0327-4575-B401-57E47C74F4BD}">
            <xm:f>'01_Költségvetés'!$N$6&lt;&gt;"Igen"</xm:f>
            <x14:dxf>
              <fill>
                <patternFill patternType="gray0625">
                  <bgColor theme="0"/>
                </patternFill>
              </fill>
            </x14:dxf>
          </x14:cfRule>
          <xm:sqref>E50:E72 G50:J72</xm:sqref>
        </x14:conditionalFormatting>
        <x14:conditionalFormatting xmlns:xm="http://schemas.microsoft.com/office/excel/2006/main">
          <x14:cfRule type="expression" priority="74" id="{D88982AF-CCE7-47C7-8ADB-3A407275333F}">
            <xm:f>'01_Költségvetés'!$N$7&lt;&gt;"Igen"</xm:f>
            <x14:dxf>
              <fill>
                <patternFill patternType="gray0625">
                  <fgColor auto="1"/>
                  <bgColor theme="0"/>
                </patternFill>
              </fill>
            </x14:dxf>
          </x14:cfRule>
          <xm:sqref>E73:E80 G73:J80</xm:sqref>
        </x14:conditionalFormatting>
        <x14:conditionalFormatting xmlns:xm="http://schemas.microsoft.com/office/excel/2006/main">
          <x14:cfRule type="expression" priority="73" id="{FB7AA2FF-9C0C-4063-9AF7-F4B3B5EA34B4}">
            <xm:f>'01_Költségvetés'!$N$8&lt;&gt;"Igen"</xm:f>
            <x14:dxf>
              <fill>
                <patternFill patternType="gray0625">
                  <bgColor theme="0"/>
                </patternFill>
              </fill>
            </x14:dxf>
          </x14:cfRule>
          <xm:sqref>E81:E82 G81:J84</xm:sqref>
        </x14:conditionalFormatting>
        <x14:conditionalFormatting xmlns:xm="http://schemas.microsoft.com/office/excel/2006/main">
          <x14:cfRule type="expression" priority="76" id="{C8CDBCAB-B974-46C1-A966-DC40E8C97BB6}">
            <xm:f>'01_Költségvetés'!$N$5&lt;&gt;"Igen"</xm:f>
            <x14:dxf>
              <fill>
                <patternFill patternType="gray0625">
                  <bgColor theme="0"/>
                </patternFill>
              </fill>
            </x14:dxf>
          </x14:cfRule>
          <xm:sqref>G46:J49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249977111117893"/>
  </sheetPr>
  <dimension ref="A1:M131"/>
  <sheetViews>
    <sheetView showGridLines="0" zoomScale="106" zoomScaleNormal="106" zoomScaleSheetLayoutView="96" workbookViewId="0">
      <selection activeCell="G47" sqref="G47"/>
    </sheetView>
  </sheetViews>
  <sheetFormatPr defaultColWidth="0" defaultRowHeight="14.5" zeroHeight="1" x14ac:dyDescent="0.35"/>
  <cols>
    <col min="1" max="1" width="1.453125" style="2" customWidth="1"/>
    <col min="2" max="2" width="27" style="2" customWidth="1"/>
    <col min="3" max="3" width="30.1796875" style="2" customWidth="1"/>
    <col min="4" max="4" width="12.26953125" style="2" customWidth="1"/>
    <col min="5" max="5" width="8" style="2" customWidth="1"/>
    <col min="6" max="6" width="7.1796875" style="2" bestFit="1" customWidth="1"/>
    <col min="7" max="10" width="11.26953125" style="2" customWidth="1"/>
    <col min="11" max="11" width="12.54296875" style="2" customWidth="1"/>
    <col min="12" max="12" width="9.54296875" style="2" customWidth="1"/>
    <col min="13" max="13" width="1.453125" style="2" customWidth="1"/>
    <col min="14" max="16384" width="7.54296875" style="2" hidden="1"/>
  </cols>
  <sheetData>
    <row r="1" spans="2:12" ht="26.15" customHeight="1" x14ac:dyDescent="0.5">
      <c r="B1" s="362" t="s">
        <v>202</v>
      </c>
      <c r="C1" s="362"/>
      <c r="D1" s="362"/>
      <c r="E1" s="362"/>
      <c r="F1" s="362"/>
      <c r="G1" s="362"/>
      <c r="H1" s="362"/>
      <c r="I1" s="362"/>
      <c r="J1" s="362"/>
      <c r="K1" s="39" t="s">
        <v>14</v>
      </c>
      <c r="L1" s="40" t="str">
        <f>+'01_Költségvetés'!N3</f>
        <v>2025.10.15-től</v>
      </c>
    </row>
    <row r="2" spans="2:12" s="74" customFormat="1" ht="14.5" customHeight="1" x14ac:dyDescent="0.35">
      <c r="B2" s="363" t="s">
        <v>229</v>
      </c>
      <c r="C2" s="363"/>
      <c r="D2" s="363"/>
      <c r="E2" s="363"/>
      <c r="F2" s="363"/>
      <c r="G2" s="363"/>
      <c r="H2" s="363"/>
      <c r="I2" s="363"/>
      <c r="J2" s="363"/>
      <c r="K2" s="75"/>
      <c r="L2" s="75"/>
    </row>
    <row r="3" spans="2:12" s="76" customFormat="1" ht="15" customHeight="1" x14ac:dyDescent="0.3">
      <c r="B3" s="76" t="s">
        <v>44</v>
      </c>
      <c r="K3" s="77"/>
      <c r="L3" s="77"/>
    </row>
    <row r="4" spans="2:12" s="76" customFormat="1" ht="14.5" customHeight="1" x14ac:dyDescent="0.3">
      <c r="B4" s="335" t="s">
        <v>45</v>
      </c>
      <c r="C4" s="335"/>
      <c r="D4" s="335"/>
      <c r="E4" s="364" t="str" cm="1">
        <f t="array" ref="E4">IF(ISBLANK('01_Költségvetés'!D5:D5),"",'01_Költségvetés'!D5:D5)</f>
        <v/>
      </c>
      <c r="F4" s="364"/>
      <c r="G4" s="364"/>
      <c r="H4" s="364"/>
      <c r="I4" s="364"/>
      <c r="J4" s="364"/>
      <c r="K4" s="77"/>
      <c r="L4" s="77"/>
    </row>
    <row r="5" spans="2:12" s="76" customFormat="1" ht="14.5" customHeight="1" x14ac:dyDescent="0.3">
      <c r="B5" s="335" t="s">
        <v>46</v>
      </c>
      <c r="C5" s="335"/>
      <c r="D5" s="335"/>
      <c r="E5" s="336"/>
      <c r="F5" s="336"/>
      <c r="G5" s="336"/>
      <c r="H5" s="336"/>
      <c r="I5" s="336"/>
      <c r="J5" s="336"/>
      <c r="K5" s="77"/>
      <c r="L5" s="77"/>
    </row>
    <row r="6" spans="2:12" s="76" customFormat="1" ht="14.5" customHeight="1" x14ac:dyDescent="0.3">
      <c r="B6" s="335" t="s">
        <v>47</v>
      </c>
      <c r="C6" s="335"/>
      <c r="D6" s="335"/>
      <c r="E6" s="336"/>
      <c r="F6" s="336"/>
      <c r="G6" s="336"/>
      <c r="H6" s="336"/>
      <c r="I6" s="336"/>
      <c r="J6" s="336"/>
      <c r="K6" s="77"/>
      <c r="L6" s="77"/>
    </row>
    <row r="7" spans="2:12" s="76" customFormat="1" ht="14.5" customHeight="1" x14ac:dyDescent="0.3">
      <c r="B7" s="335" t="s">
        <v>48</v>
      </c>
      <c r="C7" s="335"/>
      <c r="D7" s="335"/>
      <c r="E7" s="336"/>
      <c r="F7" s="336"/>
      <c r="G7" s="336"/>
      <c r="H7" s="336"/>
      <c r="I7" s="336"/>
      <c r="J7" s="336"/>
      <c r="K7" s="77"/>
      <c r="L7" s="77"/>
    </row>
    <row r="8" spans="2:12" s="76" customFormat="1" ht="14.5" customHeight="1" x14ac:dyDescent="0.3">
      <c r="B8" s="78" t="s">
        <v>172</v>
      </c>
      <c r="K8" s="77"/>
      <c r="L8" s="77"/>
    </row>
    <row r="9" spans="2:12" s="76" customFormat="1" ht="14.5" customHeight="1" x14ac:dyDescent="0.3">
      <c r="B9" s="335" t="s">
        <v>49</v>
      </c>
      <c r="C9" s="335"/>
      <c r="D9" s="335"/>
      <c r="E9" s="336"/>
      <c r="F9" s="336"/>
      <c r="G9" s="336"/>
      <c r="H9" s="336"/>
      <c r="I9" s="336"/>
      <c r="J9" s="336"/>
      <c r="K9" s="77"/>
      <c r="L9" s="77"/>
    </row>
    <row r="10" spans="2:12" s="76" customFormat="1" ht="14.5" customHeight="1" x14ac:dyDescent="0.3">
      <c r="B10" s="335" t="s">
        <v>50</v>
      </c>
      <c r="C10" s="335"/>
      <c r="D10" s="335"/>
      <c r="E10" s="336"/>
      <c r="F10" s="336"/>
      <c r="G10" s="336"/>
      <c r="H10" s="336"/>
      <c r="I10" s="336"/>
      <c r="J10" s="336"/>
      <c r="K10" s="77"/>
      <c r="L10" s="77"/>
    </row>
    <row r="11" spans="2:12" s="76" customFormat="1" ht="14.5" customHeight="1" x14ac:dyDescent="0.3">
      <c r="B11" s="335" t="s">
        <v>51</v>
      </c>
      <c r="C11" s="335"/>
      <c r="D11" s="335"/>
      <c r="E11" s="336"/>
      <c r="F11" s="336"/>
      <c r="G11" s="336"/>
      <c r="H11" s="336"/>
      <c r="I11" s="336"/>
      <c r="J11" s="336"/>
      <c r="K11" s="77"/>
      <c r="L11" s="77"/>
    </row>
    <row r="12" spans="2:12" s="76" customFormat="1" ht="14.5" customHeight="1" x14ac:dyDescent="0.3">
      <c r="B12" s="335" t="s">
        <v>52</v>
      </c>
      <c r="C12" s="335"/>
      <c r="D12" s="335"/>
      <c r="E12" s="336"/>
      <c r="F12" s="336"/>
      <c r="G12" s="336"/>
      <c r="H12" s="336"/>
      <c r="I12" s="336"/>
      <c r="J12" s="336"/>
      <c r="K12" s="77"/>
      <c r="L12" s="77"/>
    </row>
    <row r="13" spans="2:12" s="76" customFormat="1" ht="14.5" customHeight="1" x14ac:dyDescent="0.3">
      <c r="B13" s="335" t="s">
        <v>53</v>
      </c>
      <c r="C13" s="335"/>
      <c r="D13" s="335"/>
      <c r="E13" s="336"/>
      <c r="F13" s="336"/>
      <c r="G13" s="336"/>
      <c r="H13" s="336"/>
      <c r="I13" s="336"/>
      <c r="J13" s="336"/>
      <c r="K13" s="77"/>
      <c r="L13" s="77"/>
    </row>
    <row r="14" spans="2:12" s="76" customFormat="1" ht="14.5" customHeight="1" x14ac:dyDescent="0.3">
      <c r="B14" s="341" t="s">
        <v>54</v>
      </c>
      <c r="C14" s="341"/>
      <c r="D14" s="341"/>
      <c r="E14" s="341"/>
      <c r="F14" s="341"/>
      <c r="G14" s="341"/>
      <c r="H14" s="341"/>
      <c r="I14" s="341"/>
      <c r="J14" s="341"/>
      <c r="K14" s="341"/>
      <c r="L14" s="341"/>
    </row>
    <row r="15" spans="2:12" s="76" customFormat="1" ht="14.5" customHeight="1" x14ac:dyDescent="0.3">
      <c r="B15" s="341" t="s">
        <v>55</v>
      </c>
      <c r="C15" s="341"/>
      <c r="D15" s="341"/>
      <c r="E15" s="341"/>
      <c r="F15" s="341"/>
      <c r="G15" s="341"/>
      <c r="H15" s="341"/>
      <c r="I15" s="341"/>
      <c r="J15" s="341"/>
      <c r="K15" s="341"/>
      <c r="L15" s="341"/>
    </row>
    <row r="16" spans="2:12" s="74" customFormat="1" ht="23.5" customHeight="1" x14ac:dyDescent="0.35">
      <c r="B16" s="79" t="s">
        <v>56</v>
      </c>
      <c r="K16" s="75"/>
      <c r="L16" s="75"/>
    </row>
    <row r="17" spans="2:12" s="76" customFormat="1" ht="41.5" customHeight="1" x14ac:dyDescent="0.35">
      <c r="B17" s="342" t="s">
        <v>230</v>
      </c>
      <c r="C17" s="342"/>
      <c r="D17" s="342"/>
      <c r="E17" s="342"/>
      <c r="F17" s="342"/>
      <c r="G17" s="342"/>
      <c r="H17" s="342"/>
      <c r="I17" s="342"/>
      <c r="J17" s="342"/>
      <c r="K17" s="343"/>
      <c r="L17" s="343"/>
    </row>
    <row r="18" spans="2:12" s="76" customFormat="1" ht="22.5" customHeight="1" x14ac:dyDescent="0.3">
      <c r="B18" s="365" t="s">
        <v>57</v>
      </c>
      <c r="C18" s="365"/>
      <c r="D18" s="365"/>
      <c r="E18" s="364" t="str" cm="1">
        <f t="array" ref="E18">IF(ISBLANK('01_Költségvetés'!D6:D6),"",'01_Költségvetés'!D6:D6)</f>
        <v/>
      </c>
      <c r="F18" s="364"/>
      <c r="G18" s="364"/>
      <c r="H18" s="364"/>
      <c r="I18" s="364"/>
      <c r="J18" s="364"/>
      <c r="K18" s="77"/>
      <c r="L18" s="77"/>
    </row>
    <row r="19" spans="2:12" s="76" customFormat="1" ht="6.75" customHeight="1" x14ac:dyDescent="0.3">
      <c r="B19" s="366"/>
      <c r="C19" s="366"/>
      <c r="D19" s="366"/>
      <c r="E19" s="410"/>
      <c r="F19" s="367"/>
      <c r="G19" s="367"/>
      <c r="H19" s="367"/>
      <c r="I19" s="367"/>
      <c r="J19" s="367"/>
      <c r="K19" s="77"/>
      <c r="L19" s="77"/>
    </row>
    <row r="20" spans="2:12" s="74" customFormat="1" ht="17.25" customHeight="1" x14ac:dyDescent="0.35">
      <c r="B20" s="79" t="s">
        <v>58</v>
      </c>
      <c r="K20" s="75"/>
      <c r="L20" s="75"/>
    </row>
    <row r="21" spans="2:12" s="76" customFormat="1" ht="123" customHeight="1" x14ac:dyDescent="0.3">
      <c r="B21" s="373" t="s">
        <v>206</v>
      </c>
      <c r="C21" s="373"/>
      <c r="D21" s="373"/>
      <c r="E21" s="373"/>
      <c r="F21" s="373"/>
      <c r="G21" s="373"/>
      <c r="H21" s="373"/>
      <c r="I21" s="373"/>
      <c r="J21" s="373"/>
      <c r="K21" s="373"/>
      <c r="L21" s="373"/>
    </row>
    <row r="22" spans="2:12" s="76" customFormat="1" ht="28.5" customHeight="1" x14ac:dyDescent="0.35">
      <c r="B22" s="79" t="s">
        <v>60</v>
      </c>
      <c r="C22" s="74"/>
      <c r="D22" s="74"/>
      <c r="E22" s="74"/>
      <c r="F22" s="74"/>
      <c r="G22" s="74"/>
      <c r="H22" s="74"/>
      <c r="I22" s="74"/>
      <c r="J22" s="74"/>
      <c r="K22" s="80"/>
      <c r="L22" s="80"/>
    </row>
    <row r="23" spans="2:12" s="76" customFormat="1" ht="30" customHeight="1" x14ac:dyDescent="0.3">
      <c r="B23" s="374" t="s">
        <v>173</v>
      </c>
      <c r="C23" s="374"/>
      <c r="D23" s="374"/>
      <c r="E23" s="374"/>
      <c r="F23" s="374"/>
      <c r="G23" s="374"/>
      <c r="H23" s="374"/>
      <c r="I23" s="374"/>
      <c r="J23" s="374"/>
      <c r="K23" s="374"/>
      <c r="L23" s="374"/>
    </row>
    <row r="24" spans="2:12" s="76" customFormat="1" ht="19.5" customHeight="1" x14ac:dyDescent="0.3">
      <c r="B24" s="82" t="s">
        <v>61</v>
      </c>
      <c r="C24" s="83">
        <f>SUM(G47:G85)+SUM(I47:I85)+I88</f>
        <v>0</v>
      </c>
      <c r="K24" s="80"/>
      <c r="L24" s="80"/>
    </row>
    <row r="25" spans="2:12" s="76" customFormat="1" ht="19.5" customHeight="1" x14ac:dyDescent="0.3">
      <c r="B25" s="82" t="s">
        <v>62</v>
      </c>
      <c r="C25" s="83">
        <f>+C26-C24</f>
        <v>0</v>
      </c>
      <c r="K25" s="80"/>
      <c r="L25" s="80"/>
    </row>
    <row r="26" spans="2:12" s="76" customFormat="1" ht="19.5" customHeight="1" x14ac:dyDescent="0.3">
      <c r="B26" s="84" t="s">
        <v>63</v>
      </c>
      <c r="C26" s="85">
        <f>+K89</f>
        <v>0</v>
      </c>
      <c r="K26" s="80"/>
      <c r="L26" s="80"/>
    </row>
    <row r="27" spans="2:12" s="76" customFormat="1" ht="6.75" customHeight="1" x14ac:dyDescent="0.3">
      <c r="B27" s="375"/>
      <c r="C27" s="375"/>
      <c r="D27" s="375"/>
      <c r="E27" s="375"/>
      <c r="F27" s="375"/>
      <c r="G27" s="375"/>
      <c r="H27" s="375"/>
      <c r="I27" s="375"/>
      <c r="J27" s="375"/>
      <c r="K27" s="375"/>
      <c r="L27" s="375"/>
    </row>
    <row r="28" spans="2:12" s="76" customFormat="1" ht="17" hidden="1" x14ac:dyDescent="0.4">
      <c r="B28" s="86" t="s">
        <v>64</v>
      </c>
      <c r="C28" s="74"/>
      <c r="D28" s="74"/>
      <c r="E28" s="74"/>
      <c r="F28" s="74"/>
      <c r="G28" s="74"/>
      <c r="H28" s="74"/>
      <c r="I28" s="74"/>
      <c r="J28" s="74"/>
      <c r="K28" s="80"/>
      <c r="L28" s="80"/>
    </row>
    <row r="29" spans="2:12" s="76" customFormat="1" ht="45.65" customHeight="1" x14ac:dyDescent="0.3">
      <c r="B29" s="374" t="s">
        <v>205</v>
      </c>
      <c r="C29" s="374"/>
      <c r="D29" s="374"/>
      <c r="E29" s="374"/>
      <c r="F29" s="374"/>
      <c r="G29" s="374"/>
      <c r="H29" s="374"/>
      <c r="I29" s="374"/>
      <c r="J29" s="374"/>
      <c r="K29" s="374"/>
      <c r="L29" s="374"/>
    </row>
    <row r="30" spans="2:12" s="76" customFormat="1" ht="13" hidden="1" x14ac:dyDescent="0.3">
      <c r="B30" s="136"/>
      <c r="C30" s="137"/>
      <c r="D30" s="370"/>
      <c r="E30" s="370"/>
      <c r="F30" s="87"/>
      <c r="G30" s="87"/>
      <c r="H30" s="87"/>
      <c r="I30" s="87"/>
      <c r="J30" s="87"/>
      <c r="K30" s="87"/>
      <c r="L30" s="87"/>
    </row>
    <row r="31" spans="2:12" s="78" customFormat="1" ht="24.75" customHeight="1" x14ac:dyDescent="0.35">
      <c r="B31" s="368" t="s">
        <v>207</v>
      </c>
      <c r="C31" s="369"/>
      <c r="D31" s="371"/>
      <c r="E31" s="372"/>
      <c r="F31" s="87"/>
      <c r="G31" s="87"/>
      <c r="H31" s="87"/>
      <c r="I31" s="87"/>
      <c r="J31" s="87"/>
      <c r="K31" s="87"/>
      <c r="L31" s="87"/>
    </row>
    <row r="32" spans="2:12" s="78" customFormat="1" ht="24.75" customHeight="1" x14ac:dyDescent="0.35">
      <c r="B32" s="368" t="s">
        <v>208</v>
      </c>
      <c r="C32" s="369"/>
      <c r="D32" s="371"/>
      <c r="E32" s="372"/>
      <c r="F32" s="87"/>
      <c r="G32" s="87"/>
      <c r="H32" s="87"/>
      <c r="I32" s="87"/>
      <c r="J32" s="87"/>
      <c r="K32" s="87"/>
      <c r="L32" s="87"/>
    </row>
    <row r="33" spans="2:13" s="78" customFormat="1" ht="24.75" customHeight="1" x14ac:dyDescent="0.35">
      <c r="B33" s="368" t="s">
        <v>217</v>
      </c>
      <c r="C33" s="369"/>
      <c r="D33" s="337"/>
      <c r="E33" s="338"/>
      <c r="F33" s="87"/>
      <c r="G33" s="87"/>
      <c r="H33" s="87"/>
      <c r="I33" s="87"/>
      <c r="J33" s="87"/>
      <c r="K33" s="87"/>
      <c r="L33" s="87"/>
    </row>
    <row r="34" spans="2:13" s="78" customFormat="1" ht="10.5" customHeight="1" x14ac:dyDescent="0.35">
      <c r="B34" s="87"/>
      <c r="C34" s="87"/>
      <c r="D34" s="87"/>
      <c r="E34" s="87"/>
      <c r="F34" s="87"/>
      <c r="G34" s="87"/>
      <c r="H34" s="87"/>
      <c r="I34" s="87"/>
      <c r="J34" s="87"/>
      <c r="K34" s="87"/>
      <c r="L34" s="87"/>
    </row>
    <row r="35" spans="2:13" s="78" customFormat="1" ht="10.5" customHeight="1" x14ac:dyDescent="0.35">
      <c r="B35" s="87"/>
      <c r="C35" s="87"/>
      <c r="D35" s="87"/>
      <c r="E35" s="87"/>
      <c r="F35" s="87"/>
      <c r="G35" s="87"/>
      <c r="H35" s="87"/>
      <c r="I35" s="87"/>
      <c r="J35" s="87"/>
      <c r="K35" s="87"/>
      <c r="L35" s="87"/>
    </row>
    <row r="36" spans="2:13" s="76" customFormat="1" ht="86.5" customHeight="1" x14ac:dyDescent="0.3">
      <c r="B36" s="326" t="s">
        <v>122</v>
      </c>
      <c r="C36" s="326"/>
      <c r="D36" s="326"/>
      <c r="E36" s="326"/>
      <c r="F36" s="326"/>
      <c r="G36" s="326"/>
      <c r="H36" s="326"/>
      <c r="I36" s="326"/>
      <c r="J36" s="326"/>
      <c r="K36" s="326"/>
      <c r="L36" s="326"/>
    </row>
    <row r="37" spans="2:13" s="76" customFormat="1" ht="17" hidden="1" x14ac:dyDescent="0.3">
      <c r="B37" s="79" t="s">
        <v>65</v>
      </c>
      <c r="C37" s="88"/>
      <c r="D37" s="89"/>
      <c r="E37" s="89"/>
      <c r="F37" s="81"/>
      <c r="G37" s="81"/>
      <c r="H37" s="81"/>
      <c r="I37" s="81"/>
      <c r="J37" s="81"/>
      <c r="K37" s="81"/>
      <c r="L37" s="81"/>
    </row>
    <row r="38" spans="2:13" s="76" customFormat="1" ht="47.5" customHeight="1" x14ac:dyDescent="0.3">
      <c r="B38" s="326" t="s">
        <v>123</v>
      </c>
      <c r="C38" s="326"/>
      <c r="D38" s="326"/>
      <c r="E38" s="326"/>
      <c r="F38" s="326"/>
      <c r="G38" s="326"/>
      <c r="H38" s="326"/>
      <c r="I38" s="326"/>
      <c r="J38" s="326"/>
      <c r="K38" s="326"/>
      <c r="L38" s="326"/>
    </row>
    <row r="39" spans="2:13" s="76" customFormat="1" ht="17" hidden="1" x14ac:dyDescent="0.3">
      <c r="B39" s="79" t="s">
        <v>124</v>
      </c>
      <c r="C39" s="88"/>
      <c r="D39" s="89"/>
      <c r="E39" s="89"/>
      <c r="F39" s="81"/>
      <c r="G39" s="81"/>
      <c r="H39" s="81"/>
      <c r="I39" s="81"/>
      <c r="J39" s="81"/>
      <c r="K39" s="81"/>
      <c r="L39" s="81"/>
    </row>
    <row r="40" spans="2:13" s="76" customFormat="1" ht="199.5" customHeight="1" x14ac:dyDescent="0.3">
      <c r="B40" s="326" t="s">
        <v>130</v>
      </c>
      <c r="C40" s="326"/>
      <c r="D40" s="326"/>
      <c r="E40" s="326"/>
      <c r="F40" s="326"/>
      <c r="G40" s="326"/>
      <c r="H40" s="326"/>
      <c r="I40" s="326"/>
      <c r="J40" s="326"/>
      <c r="K40" s="326"/>
      <c r="L40" s="326"/>
    </row>
    <row r="41" spans="2:13" s="76" customFormat="1" ht="210.75" customHeight="1" x14ac:dyDescent="0.3">
      <c r="B41" s="326" t="s">
        <v>125</v>
      </c>
      <c r="C41" s="326"/>
      <c r="D41" s="326"/>
      <c r="E41" s="326"/>
      <c r="F41" s="326"/>
      <c r="G41" s="326"/>
      <c r="H41" s="326"/>
      <c r="I41" s="326"/>
      <c r="J41" s="326"/>
      <c r="K41" s="326"/>
      <c r="L41" s="326"/>
    </row>
    <row r="44" spans="2:13" s="76" customFormat="1" ht="20.149999999999999" customHeight="1" thickBot="1" x14ac:dyDescent="0.35">
      <c r="B44" s="344" t="s">
        <v>144</v>
      </c>
      <c r="C44" s="344"/>
      <c r="D44" s="89"/>
      <c r="E44" s="89"/>
      <c r="F44" s="81"/>
      <c r="G44" s="81"/>
      <c r="H44" s="81"/>
      <c r="I44" s="81"/>
      <c r="J44" s="81"/>
      <c r="K44" s="81"/>
      <c r="L44" s="81"/>
    </row>
    <row r="45" spans="2:13" s="76" customFormat="1" ht="13" x14ac:dyDescent="0.3">
      <c r="B45" s="317" t="s">
        <v>3</v>
      </c>
      <c r="C45" s="318"/>
      <c r="D45" s="318"/>
      <c r="E45" s="321" t="s">
        <v>121</v>
      </c>
      <c r="F45" s="224" t="s">
        <v>4</v>
      </c>
      <c r="G45" s="226" t="s">
        <v>59</v>
      </c>
      <c r="H45" s="226"/>
      <c r="I45" s="226" t="s">
        <v>231</v>
      </c>
      <c r="J45" s="226"/>
      <c r="K45" s="226" t="s">
        <v>232</v>
      </c>
      <c r="L45" s="226"/>
      <c r="M45" s="78"/>
    </row>
    <row r="46" spans="2:13" s="76" customFormat="1" ht="17.25" customHeight="1" thickBot="1" x14ac:dyDescent="0.35">
      <c r="B46" s="319"/>
      <c r="C46" s="320"/>
      <c r="D46" s="320"/>
      <c r="E46" s="322"/>
      <c r="F46" s="225"/>
      <c r="G46" s="58" t="s">
        <v>10</v>
      </c>
      <c r="H46" s="58" t="s">
        <v>11</v>
      </c>
      <c r="I46" s="58" t="s">
        <v>10</v>
      </c>
      <c r="J46" s="58" t="s">
        <v>11</v>
      </c>
      <c r="K46" s="228"/>
      <c r="L46" s="228"/>
      <c r="M46" s="78"/>
    </row>
    <row r="47" spans="2:13" s="78" customFormat="1" ht="17.25" customHeight="1" x14ac:dyDescent="0.35">
      <c r="B47" s="345" t="s">
        <v>174</v>
      </c>
      <c r="C47" s="222" t="s">
        <v>99</v>
      </c>
      <c r="D47" s="222"/>
      <c r="E47" s="222"/>
      <c r="F47" s="222"/>
      <c r="G47" s="175"/>
      <c r="H47" s="175"/>
      <c r="I47" s="175"/>
      <c r="J47" s="175"/>
      <c r="K47" s="51">
        <f t="shared" ref="K47:K85" si="0">IFERROR(H47+J47,)</f>
        <v>0</v>
      </c>
      <c r="L47" s="348">
        <f t="shared" ref="L47" si="1">SUM(K47:K50)</f>
        <v>0</v>
      </c>
    </row>
    <row r="48" spans="2:13" s="78" customFormat="1" ht="17.25" customHeight="1" x14ac:dyDescent="0.35">
      <c r="B48" s="346"/>
      <c r="C48" s="222" t="s">
        <v>100</v>
      </c>
      <c r="D48" s="222"/>
      <c r="E48" s="222"/>
      <c r="F48" s="222"/>
      <c r="G48" s="175"/>
      <c r="H48" s="175"/>
      <c r="I48" s="175"/>
      <c r="J48" s="175"/>
      <c r="K48" s="51">
        <f t="shared" si="0"/>
        <v>0</v>
      </c>
      <c r="L48" s="232"/>
    </row>
    <row r="49" spans="2:12" s="78" customFormat="1" ht="17.25" customHeight="1" x14ac:dyDescent="0.35">
      <c r="B49" s="346"/>
      <c r="C49" s="212" t="s">
        <v>235</v>
      </c>
      <c r="D49" s="170" t="s">
        <v>236</v>
      </c>
      <c r="E49" s="168"/>
      <c r="F49" s="62" t="s">
        <v>155</v>
      </c>
      <c r="G49" s="175"/>
      <c r="H49" s="175"/>
      <c r="I49" s="175"/>
      <c r="J49" s="175"/>
      <c r="K49" s="51">
        <f t="shared" si="0"/>
        <v>0</v>
      </c>
      <c r="L49" s="232"/>
    </row>
    <row r="50" spans="2:12" s="78" customFormat="1" ht="17.25" customHeight="1" x14ac:dyDescent="0.35">
      <c r="B50" s="347"/>
      <c r="C50" s="213"/>
      <c r="D50" s="171" t="s">
        <v>237</v>
      </c>
      <c r="E50" s="168"/>
      <c r="F50" s="62" t="s">
        <v>155</v>
      </c>
      <c r="G50" s="175"/>
      <c r="H50" s="175"/>
      <c r="I50" s="175"/>
      <c r="J50" s="175"/>
      <c r="K50" s="51">
        <f t="shared" si="0"/>
        <v>0</v>
      </c>
      <c r="L50" s="233"/>
    </row>
    <row r="51" spans="2:12" s="78" customFormat="1" ht="17.25" customHeight="1" x14ac:dyDescent="0.35">
      <c r="B51" s="339" t="s">
        <v>176</v>
      </c>
      <c r="C51" s="222" t="s">
        <v>82</v>
      </c>
      <c r="D51" s="93" t="s">
        <v>77</v>
      </c>
      <c r="E51" s="113"/>
      <c r="F51" s="62" t="s">
        <v>155</v>
      </c>
      <c r="G51" s="175"/>
      <c r="H51" s="175"/>
      <c r="I51" s="175"/>
      <c r="J51" s="175"/>
      <c r="K51" s="51">
        <f t="shared" si="0"/>
        <v>0</v>
      </c>
      <c r="L51" s="256">
        <f>SUM(K51:K73)</f>
        <v>0</v>
      </c>
    </row>
    <row r="52" spans="2:12" s="78" customFormat="1" ht="17.25" customHeight="1" x14ac:dyDescent="0.35">
      <c r="B52" s="268"/>
      <c r="C52" s="222"/>
      <c r="D52" s="94" t="s">
        <v>78</v>
      </c>
      <c r="E52" s="113"/>
      <c r="F52" s="62" t="s">
        <v>155</v>
      </c>
      <c r="G52" s="175"/>
      <c r="H52" s="175"/>
      <c r="I52" s="175"/>
      <c r="J52" s="175"/>
      <c r="K52" s="51">
        <f t="shared" si="0"/>
        <v>0</v>
      </c>
      <c r="L52" s="256"/>
    </row>
    <row r="53" spans="2:12" s="78" customFormat="1" ht="17.25" customHeight="1" x14ac:dyDescent="0.35">
      <c r="B53" s="268"/>
      <c r="C53" s="222"/>
      <c r="D53" s="94" t="s">
        <v>79</v>
      </c>
      <c r="E53" s="113"/>
      <c r="F53" s="62" t="s">
        <v>155</v>
      </c>
      <c r="G53" s="175"/>
      <c r="H53" s="175"/>
      <c r="I53" s="175"/>
      <c r="J53" s="175"/>
      <c r="K53" s="51">
        <f t="shared" si="0"/>
        <v>0</v>
      </c>
      <c r="L53" s="256"/>
    </row>
    <row r="54" spans="2:12" s="78" customFormat="1" ht="17.25" customHeight="1" x14ac:dyDescent="0.35">
      <c r="B54" s="268"/>
      <c r="C54" s="222" t="s">
        <v>83</v>
      </c>
      <c r="D54" s="93" t="s">
        <v>77</v>
      </c>
      <c r="E54" s="113"/>
      <c r="F54" s="62" t="s">
        <v>155</v>
      </c>
      <c r="G54" s="175"/>
      <c r="H54" s="175"/>
      <c r="I54" s="175"/>
      <c r="J54" s="175"/>
      <c r="K54" s="51">
        <f t="shared" si="0"/>
        <v>0</v>
      </c>
      <c r="L54" s="256"/>
    </row>
    <row r="55" spans="2:12" s="78" customFormat="1" ht="17.25" customHeight="1" x14ac:dyDescent="0.35">
      <c r="B55" s="268"/>
      <c r="C55" s="222"/>
      <c r="D55" s="94" t="s">
        <v>78</v>
      </c>
      <c r="E55" s="113"/>
      <c r="F55" s="62" t="s">
        <v>155</v>
      </c>
      <c r="G55" s="175"/>
      <c r="H55" s="175"/>
      <c r="I55" s="175"/>
      <c r="J55" s="175"/>
      <c r="K55" s="51">
        <f t="shared" si="0"/>
        <v>0</v>
      </c>
      <c r="L55" s="256"/>
    </row>
    <row r="56" spans="2:12" s="78" customFormat="1" ht="17.25" customHeight="1" x14ac:dyDescent="0.35">
      <c r="B56" s="268"/>
      <c r="C56" s="222"/>
      <c r="D56" s="94" t="s">
        <v>79</v>
      </c>
      <c r="E56" s="113"/>
      <c r="F56" s="62" t="s">
        <v>155</v>
      </c>
      <c r="G56" s="175"/>
      <c r="H56" s="175"/>
      <c r="I56" s="175"/>
      <c r="J56" s="175"/>
      <c r="K56" s="51">
        <f t="shared" si="0"/>
        <v>0</v>
      </c>
      <c r="L56" s="256"/>
    </row>
    <row r="57" spans="2:12" s="78" customFormat="1" ht="17.25" customHeight="1" x14ac:dyDescent="0.35">
      <c r="B57" s="268"/>
      <c r="C57" s="222" t="s">
        <v>84</v>
      </c>
      <c r="D57" s="93" t="s">
        <v>77</v>
      </c>
      <c r="E57" s="113"/>
      <c r="F57" s="62" t="s">
        <v>155</v>
      </c>
      <c r="G57" s="175"/>
      <c r="H57" s="175"/>
      <c r="I57" s="175"/>
      <c r="J57" s="175"/>
      <c r="K57" s="51">
        <f t="shared" si="0"/>
        <v>0</v>
      </c>
      <c r="L57" s="256"/>
    </row>
    <row r="58" spans="2:12" s="78" customFormat="1" ht="17.25" customHeight="1" x14ac:dyDescent="0.35">
      <c r="B58" s="268"/>
      <c r="C58" s="222"/>
      <c r="D58" s="94" t="s">
        <v>78</v>
      </c>
      <c r="E58" s="113"/>
      <c r="F58" s="62" t="s">
        <v>155</v>
      </c>
      <c r="G58" s="175"/>
      <c r="H58" s="175"/>
      <c r="I58" s="175"/>
      <c r="J58" s="175"/>
      <c r="K58" s="51">
        <f t="shared" si="0"/>
        <v>0</v>
      </c>
      <c r="L58" s="256"/>
    </row>
    <row r="59" spans="2:12" s="78" customFormat="1" ht="17.25" customHeight="1" x14ac:dyDescent="0.35">
      <c r="B59" s="268"/>
      <c r="C59" s="222"/>
      <c r="D59" s="94" t="s">
        <v>79</v>
      </c>
      <c r="E59" s="113"/>
      <c r="F59" s="62" t="s">
        <v>155</v>
      </c>
      <c r="G59" s="175"/>
      <c r="H59" s="175"/>
      <c r="I59" s="175"/>
      <c r="J59" s="175"/>
      <c r="K59" s="51">
        <f t="shared" si="0"/>
        <v>0</v>
      </c>
      <c r="L59" s="256"/>
    </row>
    <row r="60" spans="2:12" s="78" customFormat="1" ht="17.25" customHeight="1" x14ac:dyDescent="0.35">
      <c r="B60" s="268"/>
      <c r="C60" s="222" t="s">
        <v>88</v>
      </c>
      <c r="D60" s="93" t="s">
        <v>85</v>
      </c>
      <c r="E60" s="113"/>
      <c r="F60" s="62" t="s">
        <v>155</v>
      </c>
      <c r="G60" s="175"/>
      <c r="H60" s="175"/>
      <c r="I60" s="175"/>
      <c r="J60" s="175"/>
      <c r="K60" s="51">
        <f t="shared" si="0"/>
        <v>0</v>
      </c>
      <c r="L60" s="256"/>
    </row>
    <row r="61" spans="2:12" s="78" customFormat="1" ht="17.25" customHeight="1" x14ac:dyDescent="0.35">
      <c r="B61" s="268"/>
      <c r="C61" s="222"/>
      <c r="D61" s="94" t="s">
        <v>86</v>
      </c>
      <c r="E61" s="113"/>
      <c r="F61" s="62" t="s">
        <v>155</v>
      </c>
      <c r="G61" s="175"/>
      <c r="H61" s="175"/>
      <c r="I61" s="175"/>
      <c r="J61" s="175"/>
      <c r="K61" s="51">
        <f t="shared" si="0"/>
        <v>0</v>
      </c>
      <c r="L61" s="256"/>
    </row>
    <row r="62" spans="2:12" s="78" customFormat="1" ht="17.25" customHeight="1" x14ac:dyDescent="0.35">
      <c r="B62" s="268"/>
      <c r="C62" s="222"/>
      <c r="D62" s="94" t="s">
        <v>87</v>
      </c>
      <c r="E62" s="113"/>
      <c r="F62" s="62" t="s">
        <v>155</v>
      </c>
      <c r="G62" s="175"/>
      <c r="H62" s="175"/>
      <c r="I62" s="175"/>
      <c r="J62" s="175"/>
      <c r="K62" s="51">
        <f t="shared" si="0"/>
        <v>0</v>
      </c>
      <c r="L62" s="256"/>
    </row>
    <row r="63" spans="2:12" s="78" customFormat="1" ht="17.25" customHeight="1" x14ac:dyDescent="0.35">
      <c r="B63" s="268"/>
      <c r="C63" s="222" t="s">
        <v>91</v>
      </c>
      <c r="D63" s="93" t="s">
        <v>89</v>
      </c>
      <c r="E63" s="113"/>
      <c r="F63" s="62" t="s">
        <v>155</v>
      </c>
      <c r="G63" s="175"/>
      <c r="H63" s="175"/>
      <c r="I63" s="175"/>
      <c r="J63" s="175"/>
      <c r="K63" s="51">
        <f t="shared" si="0"/>
        <v>0</v>
      </c>
      <c r="L63" s="256"/>
    </row>
    <row r="64" spans="2:12" s="78" customFormat="1" ht="17.25" customHeight="1" x14ac:dyDescent="0.35">
      <c r="B64" s="268"/>
      <c r="C64" s="222"/>
      <c r="D64" s="94" t="s">
        <v>90</v>
      </c>
      <c r="E64" s="113"/>
      <c r="F64" s="62" t="s">
        <v>155</v>
      </c>
      <c r="G64" s="175"/>
      <c r="H64" s="175"/>
      <c r="I64" s="175"/>
      <c r="J64" s="175"/>
      <c r="K64" s="51">
        <f t="shared" si="0"/>
        <v>0</v>
      </c>
      <c r="L64" s="256"/>
    </row>
    <row r="65" spans="2:12" s="78" customFormat="1" ht="17.25" customHeight="1" x14ac:dyDescent="0.35">
      <c r="B65" s="268"/>
      <c r="C65" s="222" t="s">
        <v>92</v>
      </c>
      <c r="D65" s="93" t="s">
        <v>89</v>
      </c>
      <c r="E65" s="113"/>
      <c r="F65" s="62" t="s">
        <v>155</v>
      </c>
      <c r="G65" s="175"/>
      <c r="H65" s="175"/>
      <c r="I65" s="175"/>
      <c r="J65" s="175"/>
      <c r="K65" s="51">
        <f t="shared" si="0"/>
        <v>0</v>
      </c>
      <c r="L65" s="256"/>
    </row>
    <row r="66" spans="2:12" s="78" customFormat="1" ht="17.25" customHeight="1" x14ac:dyDescent="0.35">
      <c r="B66" s="268"/>
      <c r="C66" s="222"/>
      <c r="D66" s="94" t="s">
        <v>90</v>
      </c>
      <c r="E66" s="113"/>
      <c r="F66" s="62" t="s">
        <v>155</v>
      </c>
      <c r="G66" s="175"/>
      <c r="H66" s="175"/>
      <c r="I66" s="175"/>
      <c r="J66" s="175"/>
      <c r="K66" s="51">
        <f t="shared" si="0"/>
        <v>0</v>
      </c>
      <c r="L66" s="256"/>
    </row>
    <row r="67" spans="2:12" s="78" customFormat="1" ht="17.25" customHeight="1" x14ac:dyDescent="0.35">
      <c r="B67" s="268"/>
      <c r="C67" s="223" t="s">
        <v>95</v>
      </c>
      <c r="D67" s="93" t="s">
        <v>93</v>
      </c>
      <c r="E67" s="113"/>
      <c r="F67" s="62" t="s">
        <v>155</v>
      </c>
      <c r="G67" s="175"/>
      <c r="H67" s="175"/>
      <c r="I67" s="175"/>
      <c r="J67" s="175"/>
      <c r="K67" s="51">
        <f t="shared" si="0"/>
        <v>0</v>
      </c>
      <c r="L67" s="256"/>
    </row>
    <row r="68" spans="2:12" s="78" customFormat="1" ht="17.25" customHeight="1" x14ac:dyDescent="0.35">
      <c r="B68" s="268"/>
      <c r="C68" s="409"/>
      <c r="D68" s="94" t="s">
        <v>94</v>
      </c>
      <c r="E68" s="113"/>
      <c r="F68" s="62" t="s">
        <v>155</v>
      </c>
      <c r="G68" s="175"/>
      <c r="H68" s="175"/>
      <c r="I68" s="175"/>
      <c r="J68" s="175"/>
      <c r="K68" s="51">
        <f t="shared" si="0"/>
        <v>0</v>
      </c>
      <c r="L68" s="256"/>
    </row>
    <row r="69" spans="2:12" s="78" customFormat="1" ht="17.25" customHeight="1" x14ac:dyDescent="0.35">
      <c r="B69" s="268"/>
      <c r="C69" s="293" t="s">
        <v>96</v>
      </c>
      <c r="D69" s="93" t="s">
        <v>77</v>
      </c>
      <c r="E69" s="113"/>
      <c r="F69" s="62" t="s">
        <v>155</v>
      </c>
      <c r="G69" s="175"/>
      <c r="H69" s="175"/>
      <c r="I69" s="175"/>
      <c r="J69" s="175"/>
      <c r="K69" s="51">
        <f t="shared" si="0"/>
        <v>0</v>
      </c>
      <c r="L69" s="256"/>
    </row>
    <row r="70" spans="2:12" s="78" customFormat="1" ht="17.25" customHeight="1" x14ac:dyDescent="0.35">
      <c r="B70" s="268"/>
      <c r="C70" s="293"/>
      <c r="D70" s="94" t="s">
        <v>78</v>
      </c>
      <c r="E70" s="113"/>
      <c r="F70" s="62" t="s">
        <v>155</v>
      </c>
      <c r="G70" s="175"/>
      <c r="H70" s="175"/>
      <c r="I70" s="175"/>
      <c r="J70" s="175"/>
      <c r="K70" s="51">
        <f t="shared" si="0"/>
        <v>0</v>
      </c>
      <c r="L70" s="256"/>
    </row>
    <row r="71" spans="2:12" s="78" customFormat="1" ht="17.25" customHeight="1" x14ac:dyDescent="0.35">
      <c r="B71" s="268"/>
      <c r="C71" s="293"/>
      <c r="D71" s="94" t="s">
        <v>79</v>
      </c>
      <c r="E71" s="113"/>
      <c r="F71" s="62" t="s">
        <v>155</v>
      </c>
      <c r="G71" s="175"/>
      <c r="H71" s="175"/>
      <c r="I71" s="175"/>
      <c r="J71" s="175"/>
      <c r="K71" s="51">
        <f t="shared" si="0"/>
        <v>0</v>
      </c>
      <c r="L71" s="256"/>
    </row>
    <row r="72" spans="2:12" s="78" customFormat="1" ht="17.25" customHeight="1" x14ac:dyDescent="0.35">
      <c r="B72" s="268"/>
      <c r="C72" s="293" t="s">
        <v>98</v>
      </c>
      <c r="D72" s="93" t="s">
        <v>97</v>
      </c>
      <c r="E72" s="113"/>
      <c r="F72" s="62" t="s">
        <v>155</v>
      </c>
      <c r="G72" s="175"/>
      <c r="H72" s="175"/>
      <c r="I72" s="175"/>
      <c r="J72" s="175"/>
      <c r="K72" s="51">
        <f t="shared" si="0"/>
        <v>0</v>
      </c>
      <c r="L72" s="256"/>
    </row>
    <row r="73" spans="2:12" s="78" customFormat="1" ht="17.25" customHeight="1" x14ac:dyDescent="0.35">
      <c r="B73" s="268"/>
      <c r="C73" s="293"/>
      <c r="D73" s="95" t="s">
        <v>79</v>
      </c>
      <c r="E73" s="113"/>
      <c r="F73" s="62" t="s">
        <v>155</v>
      </c>
      <c r="G73" s="175"/>
      <c r="H73" s="175"/>
      <c r="I73" s="175"/>
      <c r="J73" s="175"/>
      <c r="K73" s="51">
        <f t="shared" si="0"/>
        <v>0</v>
      </c>
      <c r="L73" s="256"/>
    </row>
    <row r="74" spans="2:12" s="78" customFormat="1" ht="17.25" customHeight="1" x14ac:dyDescent="0.35">
      <c r="B74" s="376" t="s">
        <v>178</v>
      </c>
      <c r="C74" s="294" t="s">
        <v>80</v>
      </c>
      <c r="D74" s="94" t="s">
        <v>74</v>
      </c>
      <c r="E74" s="113"/>
      <c r="F74" s="62" t="s">
        <v>155</v>
      </c>
      <c r="G74" s="175"/>
      <c r="H74" s="175"/>
      <c r="I74" s="175"/>
      <c r="J74" s="175"/>
      <c r="K74" s="51">
        <f t="shared" si="0"/>
        <v>0</v>
      </c>
      <c r="L74" s="231">
        <f>SUM(K74:K81)</f>
        <v>0</v>
      </c>
    </row>
    <row r="75" spans="2:12" s="78" customFormat="1" ht="17.25" customHeight="1" x14ac:dyDescent="0.35">
      <c r="B75" s="377"/>
      <c r="C75" s="294"/>
      <c r="D75" s="94" t="s">
        <v>75</v>
      </c>
      <c r="E75" s="113"/>
      <c r="F75" s="62" t="s">
        <v>155</v>
      </c>
      <c r="G75" s="175"/>
      <c r="H75" s="175"/>
      <c r="I75" s="175"/>
      <c r="J75" s="175"/>
      <c r="K75" s="51">
        <f t="shared" si="0"/>
        <v>0</v>
      </c>
      <c r="L75" s="232"/>
    </row>
    <row r="76" spans="2:12" s="78" customFormat="1" ht="17.25" customHeight="1" x14ac:dyDescent="0.35">
      <c r="B76" s="377"/>
      <c r="C76" s="294" t="s">
        <v>81</v>
      </c>
      <c r="D76" s="94" t="s">
        <v>74</v>
      </c>
      <c r="E76" s="113"/>
      <c r="F76" s="62" t="s">
        <v>155</v>
      </c>
      <c r="G76" s="175"/>
      <c r="H76" s="175"/>
      <c r="I76" s="175"/>
      <c r="J76" s="175"/>
      <c r="K76" s="51">
        <f t="shared" si="0"/>
        <v>0</v>
      </c>
      <c r="L76" s="232"/>
    </row>
    <row r="77" spans="2:12" s="78" customFormat="1" ht="17.25" customHeight="1" x14ac:dyDescent="0.35">
      <c r="B77" s="377"/>
      <c r="C77" s="294"/>
      <c r="D77" s="94" t="s">
        <v>75</v>
      </c>
      <c r="E77" s="113"/>
      <c r="F77" s="62" t="s">
        <v>155</v>
      </c>
      <c r="G77" s="175"/>
      <c r="H77" s="175"/>
      <c r="I77" s="175"/>
      <c r="J77" s="175"/>
      <c r="K77" s="51">
        <f t="shared" si="0"/>
        <v>0</v>
      </c>
      <c r="L77" s="232"/>
    </row>
    <row r="78" spans="2:12" s="78" customFormat="1" ht="17.25" customHeight="1" x14ac:dyDescent="0.35">
      <c r="B78" s="377"/>
      <c r="C78" s="214" t="s">
        <v>240</v>
      </c>
      <c r="D78" s="215"/>
      <c r="E78" s="113"/>
      <c r="F78" s="62" t="s">
        <v>155</v>
      </c>
      <c r="G78" s="175"/>
      <c r="H78" s="175"/>
      <c r="I78" s="175"/>
      <c r="J78" s="175"/>
      <c r="K78" s="51">
        <f t="shared" si="0"/>
        <v>0</v>
      </c>
      <c r="L78" s="232"/>
    </row>
    <row r="79" spans="2:12" s="78" customFormat="1" ht="17.25" customHeight="1" x14ac:dyDescent="0.35">
      <c r="B79" s="377"/>
      <c r="C79" s="216" t="s">
        <v>238</v>
      </c>
      <c r="D79" s="172" t="s">
        <v>74</v>
      </c>
      <c r="E79" s="113"/>
      <c r="F79" s="62" t="s">
        <v>155</v>
      </c>
      <c r="G79" s="175"/>
      <c r="H79" s="175"/>
      <c r="I79" s="175"/>
      <c r="J79" s="175"/>
      <c r="K79" s="51">
        <f t="shared" si="0"/>
        <v>0</v>
      </c>
      <c r="L79" s="232"/>
    </row>
    <row r="80" spans="2:12" s="78" customFormat="1" ht="17.25" customHeight="1" x14ac:dyDescent="0.35">
      <c r="B80" s="377"/>
      <c r="C80" s="217"/>
      <c r="D80" s="172" t="s">
        <v>239</v>
      </c>
      <c r="E80" s="113"/>
      <c r="F80" s="62" t="s">
        <v>155</v>
      </c>
      <c r="G80" s="175"/>
      <c r="H80" s="175"/>
      <c r="I80" s="175"/>
      <c r="J80" s="175"/>
      <c r="K80" s="51">
        <f t="shared" si="0"/>
        <v>0</v>
      </c>
      <c r="L80" s="232"/>
    </row>
    <row r="81" spans="2:12" s="78" customFormat="1" ht="17.25" customHeight="1" x14ac:dyDescent="0.35">
      <c r="B81" s="378"/>
      <c r="C81" s="218"/>
      <c r="D81" s="172" t="s">
        <v>75</v>
      </c>
      <c r="E81" s="113"/>
      <c r="F81" s="62" t="s">
        <v>155</v>
      </c>
      <c r="G81" s="175"/>
      <c r="H81" s="175"/>
      <c r="I81" s="175"/>
      <c r="J81" s="175"/>
      <c r="K81" s="51">
        <f t="shared" si="0"/>
        <v>0</v>
      </c>
      <c r="L81" s="233"/>
    </row>
    <row r="82" spans="2:12" s="78" customFormat="1" ht="17.25" customHeight="1" x14ac:dyDescent="0.35">
      <c r="B82" s="339" t="s">
        <v>180</v>
      </c>
      <c r="C82" s="288" t="s">
        <v>68</v>
      </c>
      <c r="D82" s="334"/>
      <c r="E82" s="113"/>
      <c r="F82" s="139" t="s">
        <v>155</v>
      </c>
      <c r="G82" s="175"/>
      <c r="H82" s="175"/>
      <c r="I82" s="175"/>
      <c r="J82" s="175"/>
      <c r="K82" s="51">
        <f t="shared" si="0"/>
        <v>0</v>
      </c>
      <c r="L82" s="256">
        <f>SUM(K82:K83)</f>
        <v>0</v>
      </c>
    </row>
    <row r="83" spans="2:12" s="78" customFormat="1" ht="17.25" customHeight="1" x14ac:dyDescent="0.35">
      <c r="B83" s="268"/>
      <c r="C83" s="288" t="s">
        <v>102</v>
      </c>
      <c r="D83" s="288"/>
      <c r="E83" s="140"/>
      <c r="F83" s="62" t="s">
        <v>155</v>
      </c>
      <c r="G83" s="175"/>
      <c r="H83" s="175"/>
      <c r="I83" s="175"/>
      <c r="J83" s="175"/>
      <c r="K83" s="51">
        <f t="shared" si="0"/>
        <v>0</v>
      </c>
      <c r="L83" s="256"/>
    </row>
    <row r="84" spans="2:12" s="78" customFormat="1" ht="17.25" customHeight="1" x14ac:dyDescent="0.35">
      <c r="B84" s="339" t="s">
        <v>181</v>
      </c>
      <c r="C84" s="400" t="s">
        <v>101</v>
      </c>
      <c r="D84" s="401"/>
      <c r="E84" s="401"/>
      <c r="F84" s="402"/>
      <c r="G84" s="175"/>
      <c r="H84" s="175"/>
      <c r="I84" s="175"/>
      <c r="J84" s="175"/>
      <c r="K84" s="51">
        <f t="shared" si="0"/>
        <v>0</v>
      </c>
      <c r="L84" s="256">
        <f>SUM(K84:K85)</f>
        <v>0</v>
      </c>
    </row>
    <row r="85" spans="2:12" s="78" customFormat="1" ht="15.65" customHeight="1" thickBot="1" x14ac:dyDescent="0.4">
      <c r="B85" s="269"/>
      <c r="C85" s="403" t="s">
        <v>66</v>
      </c>
      <c r="D85" s="404"/>
      <c r="E85" s="404"/>
      <c r="F85" s="405"/>
      <c r="G85" s="176"/>
      <c r="H85" s="176"/>
      <c r="I85" s="176"/>
      <c r="J85" s="176"/>
      <c r="K85" s="56">
        <f t="shared" si="0"/>
        <v>0</v>
      </c>
      <c r="L85" s="257"/>
    </row>
    <row r="86" spans="2:12" s="96" customFormat="1" ht="20.5" customHeight="1" x14ac:dyDescent="0.35">
      <c r="B86" s="392" t="s">
        <v>116</v>
      </c>
      <c r="C86" s="393"/>
      <c r="D86" s="393"/>
      <c r="E86" s="393"/>
      <c r="F86" s="393"/>
      <c r="G86" s="393"/>
      <c r="H86" s="393"/>
      <c r="I86" s="393"/>
      <c r="J86" s="394"/>
      <c r="K86" s="395">
        <f>SUM(K47:K85)</f>
        <v>0</v>
      </c>
      <c r="L86" s="396"/>
    </row>
    <row r="87" spans="2:12" s="96" customFormat="1" ht="14.5" customHeight="1" x14ac:dyDescent="0.35">
      <c r="B87" s="352" t="s">
        <v>182</v>
      </c>
      <c r="C87" s="212" t="s">
        <v>105</v>
      </c>
      <c r="D87" s="354"/>
      <c r="E87" s="354"/>
      <c r="F87" s="354"/>
      <c r="G87" s="354"/>
      <c r="H87" s="355"/>
      <c r="I87" s="359" t="s">
        <v>10</v>
      </c>
      <c r="J87" s="360"/>
      <c r="K87" s="361" t="s">
        <v>11</v>
      </c>
      <c r="L87" s="361"/>
    </row>
    <row r="88" spans="2:12" s="78" customFormat="1" ht="20.5" customHeight="1" thickBot="1" x14ac:dyDescent="0.4">
      <c r="B88" s="353"/>
      <c r="C88" s="213"/>
      <c r="D88" s="356"/>
      <c r="E88" s="356"/>
      <c r="F88" s="356"/>
      <c r="G88" s="356"/>
      <c r="H88" s="357"/>
      <c r="I88" s="358"/>
      <c r="J88" s="358"/>
      <c r="K88" s="358"/>
      <c r="L88" s="358"/>
    </row>
    <row r="89" spans="2:12" s="96" customFormat="1" ht="21.65" customHeight="1" thickBot="1" x14ac:dyDescent="0.4">
      <c r="B89" s="387" t="s">
        <v>110</v>
      </c>
      <c r="C89" s="388"/>
      <c r="D89" s="388"/>
      <c r="E89" s="388"/>
      <c r="F89" s="388"/>
      <c r="G89" s="388"/>
      <c r="H89" s="388"/>
      <c r="I89" s="388"/>
      <c r="J89" s="389"/>
      <c r="K89" s="390">
        <f>IFERROR(+K88+K86,)</f>
        <v>0</v>
      </c>
      <c r="L89" s="391"/>
    </row>
    <row r="90" spans="2:12" s="78" customFormat="1" ht="15.75" customHeight="1" x14ac:dyDescent="0.35">
      <c r="B90" s="97"/>
      <c r="C90" s="97"/>
      <c r="D90" s="97"/>
      <c r="E90" s="97"/>
      <c r="F90" s="97"/>
      <c r="G90" s="97"/>
      <c r="H90" s="97"/>
      <c r="I90" s="97"/>
      <c r="J90" s="97"/>
      <c r="K90" s="97"/>
      <c r="L90" s="97"/>
    </row>
    <row r="91" spans="2:12" s="78" customFormat="1" ht="61.5" customHeight="1" x14ac:dyDescent="0.35">
      <c r="B91" s="397" t="s">
        <v>40</v>
      </c>
      <c r="C91" s="398"/>
      <c r="D91" s="398"/>
      <c r="E91" s="398"/>
      <c r="F91" s="398"/>
      <c r="G91" s="398"/>
      <c r="H91" s="398"/>
      <c r="I91" s="398"/>
      <c r="J91" s="398"/>
      <c r="K91" s="398"/>
      <c r="L91" s="399"/>
    </row>
    <row r="92" spans="2:12" s="78" customFormat="1" ht="43" customHeight="1" x14ac:dyDescent="0.35">
      <c r="B92" s="406"/>
      <c r="C92" s="407"/>
      <c r="D92" s="407"/>
      <c r="E92" s="407"/>
      <c r="F92" s="407"/>
      <c r="G92" s="407"/>
      <c r="H92" s="407"/>
      <c r="I92" s="407"/>
      <c r="J92" s="407"/>
      <c r="K92" s="407"/>
      <c r="L92" s="408"/>
    </row>
    <row r="93" spans="2:12" s="78" customFormat="1" ht="32.15" customHeight="1" x14ac:dyDescent="0.35">
      <c r="B93" s="381" t="s">
        <v>67</v>
      </c>
      <c r="C93" s="382"/>
      <c r="D93" s="382"/>
      <c r="E93" s="382"/>
      <c r="F93" s="382"/>
      <c r="G93" s="382"/>
      <c r="H93" s="382"/>
      <c r="I93" s="382"/>
      <c r="J93" s="382"/>
      <c r="K93" s="382"/>
      <c r="L93" s="383"/>
    </row>
    <row r="94" spans="2:12" s="78" customFormat="1" ht="7" customHeight="1" x14ac:dyDescent="0.35">
      <c r="B94" s="97"/>
      <c r="C94" s="97"/>
      <c r="D94" s="97"/>
      <c r="E94" s="97"/>
      <c r="F94" s="97"/>
      <c r="G94" s="97"/>
      <c r="H94" s="97"/>
      <c r="I94" s="97"/>
      <c r="J94" s="97"/>
      <c r="K94" s="97"/>
      <c r="L94" s="97"/>
    </row>
    <row r="95" spans="2:12" s="78" customFormat="1" ht="18.5" hidden="1" x14ac:dyDescent="0.45">
      <c r="B95" s="384" t="s">
        <v>126</v>
      </c>
      <c r="C95" s="385"/>
      <c r="D95" s="385"/>
      <c r="E95" s="385"/>
      <c r="F95" s="385"/>
      <c r="G95" s="385"/>
      <c r="H95" s="385"/>
      <c r="I95" s="385"/>
      <c r="J95" s="385"/>
      <c r="K95" s="385"/>
      <c r="L95" s="386"/>
    </row>
    <row r="96" spans="2:12" s="78" customFormat="1" ht="42" customHeight="1" x14ac:dyDescent="0.35">
      <c r="B96" s="331" t="s">
        <v>127</v>
      </c>
      <c r="C96" s="332"/>
      <c r="D96" s="332"/>
      <c r="E96" s="332"/>
      <c r="F96" s="332"/>
      <c r="G96" s="332"/>
      <c r="H96" s="332"/>
      <c r="I96" s="332"/>
      <c r="J96" s="332"/>
      <c r="K96" s="332"/>
      <c r="L96" s="333"/>
    </row>
    <row r="97" spans="2:12" s="78" customFormat="1" ht="41.25" customHeight="1" x14ac:dyDescent="0.35">
      <c r="B97" s="329" t="s">
        <v>216</v>
      </c>
      <c r="C97" s="329"/>
      <c r="D97" s="329"/>
      <c r="E97" s="329"/>
      <c r="F97" s="329"/>
      <c r="G97" s="330"/>
      <c r="H97" s="328"/>
      <c r="I97" s="328"/>
      <c r="J97" s="328"/>
      <c r="K97" s="328"/>
      <c r="L97" s="138"/>
    </row>
    <row r="98" spans="2:12" s="78" customFormat="1" ht="39" customHeight="1" x14ac:dyDescent="0.35">
      <c r="B98" s="327" t="s">
        <v>209</v>
      </c>
      <c r="C98" s="327"/>
      <c r="D98" s="327"/>
      <c r="E98" s="327"/>
      <c r="F98" s="327"/>
      <c r="G98" s="328"/>
      <c r="H98" s="328"/>
      <c r="I98" s="328"/>
      <c r="J98" s="328"/>
      <c r="K98" s="328"/>
      <c r="L98" s="138"/>
    </row>
    <row r="99" spans="2:12" s="78" customFormat="1" ht="51.75" customHeight="1" x14ac:dyDescent="0.35">
      <c r="B99" s="329" t="s">
        <v>211</v>
      </c>
      <c r="C99" s="329"/>
      <c r="D99" s="329"/>
      <c r="E99" s="329"/>
      <c r="F99" s="329"/>
      <c r="G99" s="330"/>
      <c r="H99" s="328"/>
      <c r="I99" s="328"/>
      <c r="J99" s="328"/>
      <c r="K99" s="328"/>
      <c r="L99" s="138"/>
    </row>
    <row r="100" spans="2:12" s="78" customFormat="1" ht="51.75" customHeight="1" x14ac:dyDescent="0.35">
      <c r="B100" s="329" t="s">
        <v>210</v>
      </c>
      <c r="C100" s="329"/>
      <c r="D100" s="329"/>
      <c r="E100" s="329"/>
      <c r="F100" s="329"/>
      <c r="G100" s="330"/>
      <c r="H100" s="328"/>
      <c r="I100" s="328"/>
      <c r="J100" s="328"/>
      <c r="K100" s="328"/>
      <c r="L100" s="138"/>
    </row>
    <row r="101" spans="2:12" s="78" customFormat="1" ht="51.75" customHeight="1" x14ac:dyDescent="0.35">
      <c r="B101" s="327" t="s">
        <v>212</v>
      </c>
      <c r="C101" s="327"/>
      <c r="D101" s="327"/>
      <c r="E101" s="327"/>
      <c r="F101" s="327"/>
      <c r="G101" s="328"/>
      <c r="H101" s="328"/>
      <c r="I101" s="328"/>
      <c r="J101" s="328"/>
      <c r="K101" s="328"/>
      <c r="L101" s="138"/>
    </row>
    <row r="102" spans="2:12" s="78" customFormat="1" ht="39" customHeight="1" x14ac:dyDescent="0.35">
      <c r="B102" s="327" t="s">
        <v>213</v>
      </c>
      <c r="C102" s="327"/>
      <c r="D102" s="327"/>
      <c r="E102" s="327"/>
      <c r="F102" s="327"/>
      <c r="G102" s="328"/>
      <c r="H102" s="328"/>
      <c r="I102" s="328"/>
      <c r="J102" s="328"/>
      <c r="K102" s="328"/>
      <c r="L102" s="138"/>
    </row>
    <row r="103" spans="2:12" s="78" customFormat="1" ht="51.75" customHeight="1" x14ac:dyDescent="0.35">
      <c r="B103" s="327" t="s">
        <v>214</v>
      </c>
      <c r="C103" s="327"/>
      <c r="D103" s="327"/>
      <c r="E103" s="327"/>
      <c r="F103" s="327"/>
      <c r="G103" s="327"/>
      <c r="H103" s="328"/>
      <c r="I103" s="328"/>
      <c r="J103" s="328"/>
      <c r="K103" s="328"/>
      <c r="L103" s="138"/>
    </row>
    <row r="104" spans="2:12" s="78" customFormat="1" ht="46" customHeight="1" x14ac:dyDescent="0.35">
      <c r="B104" s="329" t="s">
        <v>215</v>
      </c>
      <c r="C104" s="329"/>
      <c r="D104" s="329"/>
      <c r="E104" s="329"/>
      <c r="F104" s="329"/>
      <c r="G104" s="330"/>
      <c r="H104" s="328"/>
      <c r="I104" s="328"/>
      <c r="J104" s="328"/>
      <c r="K104" s="328"/>
      <c r="L104" s="138"/>
    </row>
    <row r="105" spans="2:12" s="17" customFormat="1" ht="5.5" customHeight="1" x14ac:dyDescent="0.35">
      <c r="B105" s="36"/>
      <c r="C105" s="36"/>
      <c r="D105" s="36"/>
      <c r="E105" s="36"/>
      <c r="F105" s="36"/>
      <c r="G105" s="37"/>
      <c r="H105" s="44"/>
      <c r="I105" s="44"/>
      <c r="J105" s="44"/>
      <c r="K105" s="44"/>
      <c r="L105" s="44"/>
    </row>
    <row r="106" spans="2:12" s="76" customFormat="1" ht="20.5" customHeight="1" x14ac:dyDescent="0.3">
      <c r="B106" s="114"/>
      <c r="C106" s="76" t="s">
        <v>131</v>
      </c>
      <c r="D106" s="87"/>
      <c r="E106" s="87"/>
      <c r="F106" s="87"/>
      <c r="G106" s="87"/>
      <c r="H106" s="87"/>
      <c r="I106" s="87"/>
      <c r="J106" s="87"/>
      <c r="K106" s="87"/>
      <c r="L106" s="87"/>
    </row>
    <row r="107" spans="2:12" s="76" customFormat="1" ht="12.75" customHeight="1" x14ac:dyDescent="0.3">
      <c r="B107" s="87"/>
      <c r="C107" s="87"/>
      <c r="D107" s="87"/>
      <c r="E107" s="87"/>
      <c r="F107" s="87"/>
      <c r="G107" s="87"/>
      <c r="H107" s="87"/>
      <c r="I107" s="87"/>
      <c r="J107" s="87"/>
      <c r="K107" s="87"/>
      <c r="L107" s="87"/>
    </row>
    <row r="108" spans="2:12" s="76" customFormat="1" ht="13" x14ac:dyDescent="0.3">
      <c r="B108" s="87"/>
      <c r="C108" s="379"/>
      <c r="D108" s="379"/>
      <c r="E108" s="379"/>
      <c r="F108" s="87"/>
      <c r="G108" s="87"/>
      <c r="H108" s="379"/>
      <c r="I108" s="379"/>
      <c r="J108" s="379"/>
      <c r="K108" s="379"/>
      <c r="L108" s="87"/>
    </row>
    <row r="109" spans="2:12" s="90" customFormat="1" ht="13" x14ac:dyDescent="0.3">
      <c r="B109" s="91"/>
      <c r="C109" s="324" t="str">
        <f>IF(ISBLANK(E4),"",E4)</f>
        <v/>
      </c>
      <c r="D109" s="324"/>
      <c r="E109" s="324"/>
      <c r="F109" s="91"/>
      <c r="G109" s="91"/>
      <c r="H109" s="324" t="str">
        <f>IF(ISBLANK(E9),"",E9)</f>
        <v/>
      </c>
      <c r="I109" s="324"/>
      <c r="J109" s="324"/>
      <c r="K109" s="324"/>
      <c r="L109" s="91"/>
    </row>
    <row r="110" spans="2:12" s="76" customFormat="1" ht="13" x14ac:dyDescent="0.3">
      <c r="B110" s="87"/>
      <c r="C110" s="325" t="s">
        <v>129</v>
      </c>
      <c r="D110" s="325"/>
      <c r="E110" s="325"/>
      <c r="F110" s="87"/>
      <c r="G110" s="87"/>
      <c r="H110" s="325" t="s">
        <v>128</v>
      </c>
      <c r="I110" s="325"/>
      <c r="J110" s="325"/>
      <c r="K110" s="325"/>
      <c r="L110" s="87"/>
    </row>
    <row r="111" spans="2:12" s="78" customFormat="1" ht="27.75" customHeight="1" x14ac:dyDescent="0.35">
      <c r="B111" s="340" t="s">
        <v>19</v>
      </c>
      <c r="C111" s="340"/>
      <c r="D111" s="340"/>
      <c r="E111" s="340"/>
      <c r="F111" s="340"/>
      <c r="G111" s="340"/>
      <c r="H111" s="340"/>
      <c r="I111" s="340"/>
      <c r="J111" s="340"/>
      <c r="K111" s="340"/>
      <c r="L111" s="340"/>
    </row>
    <row r="112" spans="2:12" s="76" customFormat="1" ht="13" x14ac:dyDescent="0.3">
      <c r="B112" s="87"/>
      <c r="C112" s="92"/>
      <c r="D112" s="92"/>
      <c r="E112" s="92"/>
      <c r="F112" s="87"/>
      <c r="G112" s="87"/>
      <c r="H112" s="92"/>
      <c r="I112" s="92"/>
      <c r="J112" s="92"/>
      <c r="K112" s="92"/>
      <c r="L112" s="87"/>
    </row>
    <row r="113" spans="2:12" s="76" customFormat="1" ht="13" x14ac:dyDescent="0.3">
      <c r="B113" s="87"/>
      <c r="C113" s="379"/>
      <c r="D113" s="379"/>
      <c r="E113" s="379"/>
      <c r="F113" s="87"/>
      <c r="G113" s="87"/>
      <c r="H113" s="379"/>
      <c r="I113" s="379"/>
      <c r="J113" s="379"/>
      <c r="K113" s="379"/>
      <c r="L113" s="87"/>
    </row>
    <row r="114" spans="2:12" s="76" customFormat="1" ht="13" x14ac:dyDescent="0.3">
      <c r="B114" s="87"/>
      <c r="C114" s="323" t="s">
        <v>16</v>
      </c>
      <c r="D114" s="323"/>
      <c r="E114" s="323"/>
      <c r="F114" s="87"/>
      <c r="G114" s="87"/>
      <c r="H114" s="323" t="s">
        <v>16</v>
      </c>
      <c r="I114" s="323"/>
      <c r="J114" s="323"/>
      <c r="K114" s="323"/>
      <c r="L114" s="87"/>
    </row>
    <row r="115" spans="2:12" s="76" customFormat="1" ht="13" x14ac:dyDescent="0.3">
      <c r="B115" s="87"/>
      <c r="C115" s="380"/>
      <c r="D115" s="380"/>
      <c r="E115" s="380"/>
      <c r="F115" s="87"/>
      <c r="G115" s="87"/>
      <c r="H115" s="380"/>
      <c r="I115" s="380"/>
      <c r="J115" s="380"/>
      <c r="K115" s="380"/>
      <c r="L115" s="87"/>
    </row>
    <row r="116" spans="2:12" s="76" customFormat="1" ht="13" x14ac:dyDescent="0.3">
      <c r="B116" s="87"/>
      <c r="C116" s="323" t="s">
        <v>17</v>
      </c>
      <c r="D116" s="323"/>
      <c r="E116" s="323"/>
      <c r="F116" s="87"/>
      <c r="G116" s="87"/>
      <c r="H116" s="323" t="s">
        <v>17</v>
      </c>
      <c r="I116" s="323"/>
      <c r="J116" s="323"/>
      <c r="K116" s="323"/>
      <c r="L116" s="87"/>
    </row>
    <row r="117" spans="2:12" s="76" customFormat="1" ht="13" x14ac:dyDescent="0.3">
      <c r="B117" s="87"/>
      <c r="C117" s="380"/>
      <c r="D117" s="380"/>
      <c r="E117" s="380"/>
      <c r="F117" s="87"/>
      <c r="G117" s="87"/>
      <c r="H117" s="380"/>
      <c r="I117" s="380"/>
      <c r="J117" s="380"/>
      <c r="K117" s="380"/>
      <c r="L117" s="87"/>
    </row>
    <row r="118" spans="2:12" s="76" customFormat="1" ht="13" hidden="1" x14ac:dyDescent="0.3">
      <c r="B118" s="87"/>
      <c r="C118" s="323" t="s">
        <v>18</v>
      </c>
      <c r="D118" s="323"/>
      <c r="E118" s="323"/>
      <c r="F118" s="87"/>
      <c r="G118" s="87"/>
      <c r="H118" s="323" t="s">
        <v>18</v>
      </c>
      <c r="I118" s="323"/>
      <c r="J118" s="323"/>
      <c r="K118" s="323"/>
      <c r="L118" s="87"/>
    </row>
    <row r="126" spans="2:12" x14ac:dyDescent="0.35"/>
    <row r="127" spans="2:12" x14ac:dyDescent="0.35"/>
    <row r="128" spans="2:12" x14ac:dyDescent="0.35"/>
    <row r="131" x14ac:dyDescent="0.35"/>
  </sheetData>
  <sheetProtection algorithmName="SHA-512" hashValue="NL7uUmso8Xi+W4kTmvMDPkHWt1hfkJ88OTQ0nepbrYY4sRtdLj8nO/PpaKanaDiv3KdQ8wp5VEVAUYmECtOBzg==" saltValue="url/0hX2LX8YGaigORCI7g==" spinCount="100000" sheet="1" selectLockedCells="1"/>
  <protectedRanges>
    <protectedRange sqref="K82:K85 K47:K50 K69:L81 K51:L68 G47:J85" name="Tartomány2_1"/>
    <protectedRange sqref="K82:K85 K47:K50 K69:L81 K51:L68 G47:J85" name="Tartomány1_1"/>
    <protectedRange sqref="E51:E83" name="Tartomány2_2"/>
    <protectedRange sqref="E51:E83" name="Tartomány1_2"/>
    <protectedRange sqref="L47:L50 L82:L85" name="Tartomány2_5"/>
    <protectedRange sqref="D89 D86" name="Tartomány1_5"/>
    <protectedRange sqref="G88:I88 K88" name="Tartomány2_1_1"/>
    <protectedRange sqref="G88:I88 K88" name="Tartomány1_1_1"/>
    <protectedRange sqref="D87" name="Tartomány1_5_1"/>
    <protectedRange sqref="E49:E50" name="Tartomány2_2_1_1"/>
    <protectedRange sqref="E49:E50" name="Tartomány1_2_1_1"/>
  </protectedRanges>
  <dataConsolidate/>
  <mergeCells count="121">
    <mergeCell ref="B1:J1"/>
    <mergeCell ref="B2:J2"/>
    <mergeCell ref="B4:D4"/>
    <mergeCell ref="E4:J4"/>
    <mergeCell ref="B5:D5"/>
    <mergeCell ref="E5:J5"/>
    <mergeCell ref="B31:C31"/>
    <mergeCell ref="B32:C32"/>
    <mergeCell ref="D30:E30"/>
    <mergeCell ref="B10:D10"/>
    <mergeCell ref="E10:J10"/>
    <mergeCell ref="B11:D11"/>
    <mergeCell ref="E11:J11"/>
    <mergeCell ref="B12:D12"/>
    <mergeCell ref="E12:J12"/>
    <mergeCell ref="B6:D6"/>
    <mergeCell ref="E6:J6"/>
    <mergeCell ref="B7:D7"/>
    <mergeCell ref="E7:J7"/>
    <mergeCell ref="B9:D9"/>
    <mergeCell ref="E9:J9"/>
    <mergeCell ref="B19:D19"/>
    <mergeCell ref="E19:J19"/>
    <mergeCell ref="B21:L21"/>
    <mergeCell ref="B23:L23"/>
    <mergeCell ref="B27:L27"/>
    <mergeCell ref="B29:L29"/>
    <mergeCell ref="B13:D13"/>
    <mergeCell ref="E13:J13"/>
    <mergeCell ref="B14:L14"/>
    <mergeCell ref="B15:L15"/>
    <mergeCell ref="B17:L17"/>
    <mergeCell ref="B18:D18"/>
    <mergeCell ref="E18:J18"/>
    <mergeCell ref="B36:L36"/>
    <mergeCell ref="B38:L38"/>
    <mergeCell ref="B40:L40"/>
    <mergeCell ref="B41:L41"/>
    <mergeCell ref="C108:E108"/>
    <mergeCell ref="H108:K108"/>
    <mergeCell ref="D31:E31"/>
    <mergeCell ref="D32:E32"/>
    <mergeCell ref="D33:E33"/>
    <mergeCell ref="B33:C33"/>
    <mergeCell ref="K45:L46"/>
    <mergeCell ref="C47:F47"/>
    <mergeCell ref="C48:F48"/>
    <mergeCell ref="L47:L50"/>
    <mergeCell ref="L51:L73"/>
    <mergeCell ref="K87:L87"/>
    <mergeCell ref="I88:J88"/>
    <mergeCell ref="K88:L88"/>
    <mergeCell ref="B82:B83"/>
    <mergeCell ref="C82:D82"/>
    <mergeCell ref="L82:L83"/>
    <mergeCell ref="C83:D83"/>
    <mergeCell ref="B84:B85"/>
    <mergeCell ref="L84:L85"/>
    <mergeCell ref="C114:E114"/>
    <mergeCell ref="H114:K114"/>
    <mergeCell ref="C115:E115"/>
    <mergeCell ref="H115:K115"/>
    <mergeCell ref="C116:E116"/>
    <mergeCell ref="H116:K116"/>
    <mergeCell ref="C109:E109"/>
    <mergeCell ref="H109:K109"/>
    <mergeCell ref="C110:E110"/>
    <mergeCell ref="H110:K110"/>
    <mergeCell ref="B111:L111"/>
    <mergeCell ref="C113:E113"/>
    <mergeCell ref="H113:K113"/>
    <mergeCell ref="C117:E117"/>
    <mergeCell ref="H117:K117"/>
    <mergeCell ref="C118:E118"/>
    <mergeCell ref="H118:K118"/>
    <mergeCell ref="B44:C44"/>
    <mergeCell ref="B45:D46"/>
    <mergeCell ref="E45:E46"/>
    <mergeCell ref="F45:F46"/>
    <mergeCell ref="G45:H45"/>
    <mergeCell ref="I45:J45"/>
    <mergeCell ref="B47:B50"/>
    <mergeCell ref="C49:C50"/>
    <mergeCell ref="C69:C71"/>
    <mergeCell ref="C72:C73"/>
    <mergeCell ref="C74:C75"/>
    <mergeCell ref="C76:C77"/>
    <mergeCell ref="B51:B73"/>
    <mergeCell ref="C51:C53"/>
    <mergeCell ref="C54:C56"/>
    <mergeCell ref="C57:C59"/>
    <mergeCell ref="C60:C62"/>
    <mergeCell ref="C63:C64"/>
    <mergeCell ref="C65:C66"/>
    <mergeCell ref="C67:C68"/>
    <mergeCell ref="C84:F84"/>
    <mergeCell ref="C85:F85"/>
    <mergeCell ref="C78:D78"/>
    <mergeCell ref="C79:C81"/>
    <mergeCell ref="B74:B81"/>
    <mergeCell ref="L74:L81"/>
    <mergeCell ref="B101:K101"/>
    <mergeCell ref="B102:K102"/>
    <mergeCell ref="B86:J86"/>
    <mergeCell ref="K86:L86"/>
    <mergeCell ref="B87:B88"/>
    <mergeCell ref="C87:H88"/>
    <mergeCell ref="I87:J87"/>
    <mergeCell ref="B103:K103"/>
    <mergeCell ref="B104:K104"/>
    <mergeCell ref="B96:L96"/>
    <mergeCell ref="B97:K97"/>
    <mergeCell ref="B98:K98"/>
    <mergeCell ref="B99:K99"/>
    <mergeCell ref="B100:K100"/>
    <mergeCell ref="B89:J89"/>
    <mergeCell ref="K89:L89"/>
    <mergeCell ref="B91:L91"/>
    <mergeCell ref="B92:L92"/>
    <mergeCell ref="B93:L93"/>
    <mergeCell ref="B95:L95"/>
  </mergeCells>
  <conditionalFormatting sqref="B92">
    <cfRule type="containsBlanks" dxfId="50" priority="94">
      <formula>LEN(TRIM(B92))=0</formula>
    </cfRule>
  </conditionalFormatting>
  <conditionalFormatting sqref="C115:E115 H115:K115 C117:E117 H117:K117">
    <cfRule type="containsBlanks" dxfId="49" priority="87">
      <formula>LEN(TRIM(C115))=0</formula>
    </cfRule>
  </conditionalFormatting>
  <conditionalFormatting sqref="D31:E33">
    <cfRule type="containsBlanks" dxfId="48" priority="88">
      <formula>LEN(TRIM(D31))=0</formula>
    </cfRule>
  </conditionalFormatting>
  <conditionalFormatting sqref="E49:E50">
    <cfRule type="containsBlanks" dxfId="46" priority="2">
      <formula>LEN(TRIM(E49))=0</formula>
    </cfRule>
  </conditionalFormatting>
  <conditionalFormatting sqref="E5:J7 E9:J13">
    <cfRule type="containsBlanks" dxfId="42" priority="90">
      <formula>LEN(TRIM(E5))=0</formula>
    </cfRule>
  </conditionalFormatting>
  <conditionalFormatting sqref="G47:J85 E51:E83 B106">
    <cfRule type="containsBlanks" dxfId="40" priority="86">
      <formula>LEN(TRIM(B47))=0</formula>
    </cfRule>
  </conditionalFormatting>
  <conditionalFormatting sqref="I88:L88">
    <cfRule type="containsBlanks" dxfId="39" priority="85">
      <formula>LEN(TRIM(I88))=0</formula>
    </cfRule>
  </conditionalFormatting>
  <conditionalFormatting sqref="L97:L104">
    <cfRule type="cellIs" dxfId="38" priority="4" operator="equal">
      <formula>"Nem"</formula>
    </cfRule>
    <cfRule type="containsBlanks" dxfId="37" priority="5">
      <formula>LEN(TRIM(L97))=0</formula>
    </cfRule>
  </conditionalFormatting>
  <dataValidations xWindow="1150" yWindow="823" count="8">
    <dataValidation operator="lessThanOrEqual" allowBlank="1" showErrorMessage="1" prompt="Rövid, tömör leírást kérünk adni a projekt megvalósításához szükséges engedélyekről. _x000a_" sqref="B92" xr:uid="{00000000-0002-0000-0300-000000000000}"/>
    <dataValidation allowBlank="1" sqref="K74:K75" xr:uid="{00000000-0002-0000-0300-000003000000}"/>
    <dataValidation type="whole" allowBlank="1" showInputMessage="1" showErrorMessage="1" sqref="L74" xr:uid="{00000000-0002-0000-0300-000006000000}">
      <formula1>0</formula1>
      <formula2>100000000</formula2>
    </dataValidation>
    <dataValidation type="whole" allowBlank="1" showInputMessage="1" showErrorMessage="1" sqref="L51 K88 I88 K76:K85 K47:K73" xr:uid="{00000000-0002-0000-0300-000007000000}">
      <formula1>0</formula1>
      <formula2>10000000000</formula2>
    </dataValidation>
    <dataValidation type="decimal" allowBlank="1" showInputMessage="1" showErrorMessage="1" sqref="L47 L84 L82 I74:I75 G47:G85" xr:uid="{00000000-0002-0000-0300-000008000000}">
      <formula1>0</formula1>
      <formula2>10000000000</formula2>
    </dataValidation>
    <dataValidation type="list" allowBlank="1" showInputMessage="1" showErrorMessage="1" sqref="D33:E33 L97:L99 L102:L104" xr:uid="{00000000-0002-0000-0300-000009000000}">
      <formula1>"Igen,Nem"</formula1>
    </dataValidation>
    <dataValidation type="list" allowBlank="1" showInputMessage="1" showErrorMessage="1" sqref="L100:L102" xr:uid="{00000000-0002-0000-0300-00000A000000}">
      <formula1>"Igen,Nem, Nem releváns"</formula1>
    </dataValidation>
    <dataValidation type="decimal" allowBlank="1" showInputMessage="1" showErrorMessage="1" sqref="E49:E83" xr:uid="{00000000-0002-0000-0300-000001000000}">
      <formula1>0</formula1>
      <formula2>1000000000</formula2>
    </dataValidation>
  </dataValidations>
  <printOptions horizontalCentered="1"/>
  <pageMargins left="0.31496062992125984" right="0.31496062992125984" top="0.47244094488188981" bottom="0.35433070866141736" header="0.31496062992125984" footer="0.31496062992125984"/>
  <pageSetup paperSize="9" scale="63" fitToHeight="0" orientation="portrait" r:id="rId1"/>
  <headerFooter>
    <oddHeader>&amp;LMFB Zrt.&amp;C&amp;9KEHOP Plusz-4.1.7-24 OTTHONFELÚJÍTÁSI HITELPROGRAM - Vállalkozói szerződés&amp;R&amp;P.oldal</oddHeader>
  </headerFooter>
  <rowBreaks count="2" manualBreakCount="2">
    <brk id="43" max="16383" man="1"/>
    <brk id="89" max="16383" man="1"/>
  </rowBreaks>
  <extLst>
    <ext xmlns:x14="http://schemas.microsoft.com/office/spreadsheetml/2009/9/main" uri="{78C0D931-6437-407d-A8EE-F0AAD7539E65}">
      <x14:conditionalFormattings>
        <x14:conditionalFormatting xmlns:xm="http://schemas.microsoft.com/office/excel/2006/main">
          <x14:cfRule type="expression" priority="1" id="{94361D13-C4A6-4FCA-A796-FCFE6969FDE2}">
            <xm:f>'01_Költségvetés'!$N$5&lt;&gt;"Igen"</xm:f>
            <x14:dxf>
              <fill>
                <patternFill patternType="gray0625">
                  <bgColor theme="0"/>
                </patternFill>
              </fill>
            </x14:dxf>
          </x14:cfRule>
          <xm:sqref>E49:E50</xm:sqref>
        </x14:conditionalFormatting>
        <x14:conditionalFormatting xmlns:xm="http://schemas.microsoft.com/office/excel/2006/main">
          <x14:cfRule type="expression" priority="80" id="{699FF94A-C02E-420C-A985-2C0E4DC70267}">
            <xm:f>'01_Költségvetés'!$N$6&lt;&gt;"Igen"</xm:f>
            <x14:dxf>
              <fill>
                <patternFill patternType="gray0625">
                  <bgColor theme="0"/>
                </patternFill>
              </fill>
            </x14:dxf>
          </x14:cfRule>
          <xm:sqref>E51:E73 G51:J73</xm:sqref>
        </x14:conditionalFormatting>
        <x14:conditionalFormatting xmlns:xm="http://schemas.microsoft.com/office/excel/2006/main">
          <x14:cfRule type="expression" priority="79" id="{E2F1B1FA-8961-4860-9C20-1D5BD8BBB61F}">
            <xm:f>'01_Költségvetés'!$N$7&lt;&gt;"Igen"</xm:f>
            <x14:dxf>
              <fill>
                <patternFill patternType="gray0625">
                  <fgColor auto="1"/>
                  <bgColor theme="0"/>
                </patternFill>
              </fill>
            </x14:dxf>
          </x14:cfRule>
          <xm:sqref>E74:E81 G74:J81</xm:sqref>
        </x14:conditionalFormatting>
        <x14:conditionalFormatting xmlns:xm="http://schemas.microsoft.com/office/excel/2006/main">
          <x14:cfRule type="expression" priority="78" id="{5EBD5F83-1AA9-4F0E-A2E9-CC8FD3FC1DEB}">
            <xm:f>'01_Költségvetés'!$N$8&lt;&gt;"Igen"</xm:f>
            <x14:dxf>
              <fill>
                <patternFill patternType="gray0625">
                  <bgColor theme="0"/>
                </patternFill>
              </fill>
            </x14:dxf>
          </x14:cfRule>
          <xm:sqref>E82:E83 G82:J85</xm:sqref>
        </x14:conditionalFormatting>
        <x14:conditionalFormatting xmlns:xm="http://schemas.microsoft.com/office/excel/2006/main">
          <x14:cfRule type="expression" priority="81" id="{135B6807-F1E0-4F33-8C7A-88B3AD50D120}">
            <xm:f>'01_Költségvetés'!$N$5&lt;&gt;"Igen"</xm:f>
            <x14:dxf>
              <fill>
                <patternFill patternType="gray0625">
                  <bgColor theme="0"/>
                </patternFill>
              </fill>
            </x14:dxf>
          </x14:cfRule>
          <xm:sqref>G47:J50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249977111117893"/>
  </sheetPr>
  <dimension ref="A1:M131"/>
  <sheetViews>
    <sheetView showGridLines="0" topLeftCell="A40" zoomScale="106" zoomScaleNormal="106" zoomScaleSheetLayoutView="96" workbookViewId="0">
      <selection activeCell="G47" sqref="G47"/>
    </sheetView>
  </sheetViews>
  <sheetFormatPr defaultColWidth="0" defaultRowHeight="14.5" zeroHeight="1" x14ac:dyDescent="0.35"/>
  <cols>
    <col min="1" max="1" width="1.453125" style="2" customWidth="1"/>
    <col min="2" max="2" width="27" style="2" customWidth="1"/>
    <col min="3" max="3" width="30.1796875" style="2" customWidth="1"/>
    <col min="4" max="4" width="12.26953125" style="2" customWidth="1"/>
    <col min="5" max="5" width="8" style="2" customWidth="1"/>
    <col min="6" max="6" width="7.1796875" style="2" bestFit="1" customWidth="1"/>
    <col min="7" max="10" width="11.26953125" style="2" customWidth="1"/>
    <col min="11" max="11" width="12.54296875" style="2" customWidth="1"/>
    <col min="12" max="12" width="9.54296875" style="2" customWidth="1"/>
    <col min="13" max="13" width="1.7265625" style="2" customWidth="1"/>
    <col min="14" max="16384" width="7.54296875" style="2" hidden="1"/>
  </cols>
  <sheetData>
    <row r="1" spans="2:12" ht="26.15" customHeight="1" x14ac:dyDescent="0.5">
      <c r="B1" s="362" t="s">
        <v>202</v>
      </c>
      <c r="C1" s="362"/>
      <c r="D1" s="362"/>
      <c r="E1" s="362"/>
      <c r="F1" s="362"/>
      <c r="G1" s="362"/>
      <c r="H1" s="362"/>
      <c r="I1" s="362"/>
      <c r="J1" s="362"/>
      <c r="K1" s="39" t="s">
        <v>14</v>
      </c>
      <c r="L1" s="40" t="str">
        <f>+'01_Költségvetés'!N3</f>
        <v>2025.10.15-től</v>
      </c>
    </row>
    <row r="2" spans="2:12" s="74" customFormat="1" ht="14.5" customHeight="1" x14ac:dyDescent="0.35">
      <c r="B2" s="363" t="s">
        <v>229</v>
      </c>
      <c r="C2" s="363"/>
      <c r="D2" s="363"/>
      <c r="E2" s="363"/>
      <c r="F2" s="363"/>
      <c r="G2" s="363"/>
      <c r="H2" s="363"/>
      <c r="I2" s="363"/>
      <c r="J2" s="363"/>
      <c r="K2" s="75"/>
      <c r="L2" s="75"/>
    </row>
    <row r="3" spans="2:12" s="76" customFormat="1" ht="15" customHeight="1" x14ac:dyDescent="0.3">
      <c r="B3" s="76" t="s">
        <v>44</v>
      </c>
      <c r="K3" s="77"/>
      <c r="L3" s="77"/>
    </row>
    <row r="4" spans="2:12" s="76" customFormat="1" ht="14.5" customHeight="1" x14ac:dyDescent="0.3">
      <c r="B4" s="335" t="s">
        <v>45</v>
      </c>
      <c r="C4" s="335"/>
      <c r="D4" s="335"/>
      <c r="E4" s="364" t="str" cm="1">
        <f t="array" ref="E4">IF(ISBLANK('01_Költségvetés'!D5:D5),"",'01_Költségvetés'!D5:D5)</f>
        <v/>
      </c>
      <c r="F4" s="364"/>
      <c r="G4" s="364"/>
      <c r="H4" s="364"/>
      <c r="I4" s="364"/>
      <c r="J4" s="364"/>
      <c r="K4" s="77"/>
      <c r="L4" s="77"/>
    </row>
    <row r="5" spans="2:12" s="76" customFormat="1" ht="14.5" customHeight="1" x14ac:dyDescent="0.3">
      <c r="B5" s="335" t="s">
        <v>46</v>
      </c>
      <c r="C5" s="335"/>
      <c r="D5" s="335"/>
      <c r="E5" s="336"/>
      <c r="F5" s="336"/>
      <c r="G5" s="336"/>
      <c r="H5" s="336"/>
      <c r="I5" s="336"/>
      <c r="J5" s="336"/>
      <c r="K5" s="77"/>
      <c r="L5" s="77"/>
    </row>
    <row r="6" spans="2:12" s="76" customFormat="1" ht="14.5" customHeight="1" x14ac:dyDescent="0.3">
      <c r="B6" s="335" t="s">
        <v>47</v>
      </c>
      <c r="C6" s="335"/>
      <c r="D6" s="335"/>
      <c r="E6" s="336"/>
      <c r="F6" s="336"/>
      <c r="G6" s="336"/>
      <c r="H6" s="336"/>
      <c r="I6" s="336"/>
      <c r="J6" s="336"/>
      <c r="K6" s="77"/>
      <c r="L6" s="77"/>
    </row>
    <row r="7" spans="2:12" s="76" customFormat="1" ht="14.5" customHeight="1" x14ac:dyDescent="0.3">
      <c r="B7" s="335" t="s">
        <v>48</v>
      </c>
      <c r="C7" s="335"/>
      <c r="D7" s="335"/>
      <c r="E7" s="336"/>
      <c r="F7" s="336"/>
      <c r="G7" s="336"/>
      <c r="H7" s="336"/>
      <c r="I7" s="336"/>
      <c r="J7" s="336"/>
      <c r="K7" s="77"/>
      <c r="L7" s="77"/>
    </row>
    <row r="8" spans="2:12" s="76" customFormat="1" ht="14.5" customHeight="1" x14ac:dyDescent="0.3">
      <c r="B8" s="78" t="s">
        <v>172</v>
      </c>
      <c r="K8" s="77"/>
      <c r="L8" s="77"/>
    </row>
    <row r="9" spans="2:12" s="76" customFormat="1" ht="14.5" customHeight="1" x14ac:dyDescent="0.3">
      <c r="B9" s="335" t="s">
        <v>49</v>
      </c>
      <c r="C9" s="335"/>
      <c r="D9" s="335"/>
      <c r="E9" s="336"/>
      <c r="F9" s="336"/>
      <c r="G9" s="336"/>
      <c r="H9" s="336"/>
      <c r="I9" s="336"/>
      <c r="J9" s="336"/>
      <c r="K9" s="77"/>
      <c r="L9" s="77"/>
    </row>
    <row r="10" spans="2:12" s="76" customFormat="1" ht="14.5" customHeight="1" x14ac:dyDescent="0.3">
      <c r="B10" s="335" t="s">
        <v>50</v>
      </c>
      <c r="C10" s="335"/>
      <c r="D10" s="335"/>
      <c r="E10" s="336"/>
      <c r="F10" s="336"/>
      <c r="G10" s="336"/>
      <c r="H10" s="336"/>
      <c r="I10" s="336"/>
      <c r="J10" s="336"/>
      <c r="K10" s="77"/>
      <c r="L10" s="77"/>
    </row>
    <row r="11" spans="2:12" s="76" customFormat="1" ht="14.5" customHeight="1" x14ac:dyDescent="0.3">
      <c r="B11" s="335" t="s">
        <v>51</v>
      </c>
      <c r="C11" s="335"/>
      <c r="D11" s="335"/>
      <c r="E11" s="336"/>
      <c r="F11" s="336"/>
      <c r="G11" s="336"/>
      <c r="H11" s="336"/>
      <c r="I11" s="336"/>
      <c r="J11" s="336"/>
      <c r="K11" s="77"/>
      <c r="L11" s="77"/>
    </row>
    <row r="12" spans="2:12" s="76" customFormat="1" ht="14.5" customHeight="1" x14ac:dyDescent="0.3">
      <c r="B12" s="335" t="s">
        <v>52</v>
      </c>
      <c r="C12" s="335"/>
      <c r="D12" s="335"/>
      <c r="E12" s="336"/>
      <c r="F12" s="336"/>
      <c r="G12" s="336"/>
      <c r="H12" s="336"/>
      <c r="I12" s="336"/>
      <c r="J12" s="336"/>
      <c r="K12" s="77"/>
      <c r="L12" s="77"/>
    </row>
    <row r="13" spans="2:12" s="76" customFormat="1" ht="14.5" customHeight="1" x14ac:dyDescent="0.3">
      <c r="B13" s="335" t="s">
        <v>53</v>
      </c>
      <c r="C13" s="335"/>
      <c r="D13" s="335"/>
      <c r="E13" s="336"/>
      <c r="F13" s="336"/>
      <c r="G13" s="336"/>
      <c r="H13" s="336"/>
      <c r="I13" s="336"/>
      <c r="J13" s="336"/>
      <c r="K13" s="77"/>
      <c r="L13" s="77"/>
    </row>
    <row r="14" spans="2:12" s="76" customFormat="1" ht="14.5" customHeight="1" x14ac:dyDescent="0.3">
      <c r="B14" s="341" t="s">
        <v>54</v>
      </c>
      <c r="C14" s="341"/>
      <c r="D14" s="341"/>
      <c r="E14" s="341"/>
      <c r="F14" s="341"/>
      <c r="G14" s="341"/>
      <c r="H14" s="341"/>
      <c r="I14" s="341"/>
      <c r="J14" s="341"/>
      <c r="K14" s="341"/>
      <c r="L14" s="341"/>
    </row>
    <row r="15" spans="2:12" s="76" customFormat="1" ht="14.5" customHeight="1" x14ac:dyDescent="0.3">
      <c r="B15" s="341" t="s">
        <v>55</v>
      </c>
      <c r="C15" s="341"/>
      <c r="D15" s="341"/>
      <c r="E15" s="341"/>
      <c r="F15" s="341"/>
      <c r="G15" s="341"/>
      <c r="H15" s="341"/>
      <c r="I15" s="341"/>
      <c r="J15" s="341"/>
      <c r="K15" s="341"/>
      <c r="L15" s="341"/>
    </row>
    <row r="16" spans="2:12" s="74" customFormat="1" ht="23.5" customHeight="1" x14ac:dyDescent="0.35">
      <c r="B16" s="79" t="s">
        <v>56</v>
      </c>
      <c r="K16" s="75"/>
      <c r="L16" s="75"/>
    </row>
    <row r="17" spans="2:12" s="76" customFormat="1" ht="41.5" customHeight="1" x14ac:dyDescent="0.35">
      <c r="B17" s="342" t="s">
        <v>230</v>
      </c>
      <c r="C17" s="342"/>
      <c r="D17" s="342"/>
      <c r="E17" s="342"/>
      <c r="F17" s="342"/>
      <c r="G17" s="342"/>
      <c r="H17" s="342"/>
      <c r="I17" s="342"/>
      <c r="J17" s="342"/>
      <c r="K17" s="343"/>
      <c r="L17" s="343"/>
    </row>
    <row r="18" spans="2:12" s="76" customFormat="1" ht="22.5" customHeight="1" x14ac:dyDescent="0.3">
      <c r="B18" s="365" t="s">
        <v>57</v>
      </c>
      <c r="C18" s="365"/>
      <c r="D18" s="365"/>
      <c r="E18" s="364" t="str" cm="1">
        <f t="array" ref="E18">IF(ISBLANK('01_Költségvetés'!D6:D6),"",'01_Költségvetés'!D6:D6)</f>
        <v/>
      </c>
      <c r="F18" s="364"/>
      <c r="G18" s="364"/>
      <c r="H18" s="364"/>
      <c r="I18" s="364"/>
      <c r="J18" s="364"/>
      <c r="K18" s="77"/>
      <c r="L18" s="77"/>
    </row>
    <row r="19" spans="2:12" s="76" customFormat="1" ht="6.75" customHeight="1" x14ac:dyDescent="0.3">
      <c r="B19" s="366"/>
      <c r="C19" s="366"/>
      <c r="D19" s="366"/>
      <c r="E19" s="367"/>
      <c r="F19" s="367"/>
      <c r="G19" s="367"/>
      <c r="H19" s="367"/>
      <c r="I19" s="367"/>
      <c r="J19" s="367"/>
      <c r="K19" s="77"/>
      <c r="L19" s="77"/>
    </row>
    <row r="20" spans="2:12" s="74" customFormat="1" ht="17.25" customHeight="1" x14ac:dyDescent="0.35">
      <c r="B20" s="79" t="s">
        <v>58</v>
      </c>
      <c r="K20" s="75"/>
      <c r="L20" s="75"/>
    </row>
    <row r="21" spans="2:12" s="76" customFormat="1" ht="129" customHeight="1" x14ac:dyDescent="0.3">
      <c r="B21" s="373" t="s">
        <v>206</v>
      </c>
      <c r="C21" s="373"/>
      <c r="D21" s="373"/>
      <c r="E21" s="373"/>
      <c r="F21" s="373"/>
      <c r="G21" s="373"/>
      <c r="H21" s="373"/>
      <c r="I21" s="373"/>
      <c r="J21" s="373"/>
      <c r="K21" s="373"/>
      <c r="L21" s="373"/>
    </row>
    <row r="22" spans="2:12" s="76" customFormat="1" ht="28.5" customHeight="1" x14ac:dyDescent="0.35">
      <c r="B22" s="79" t="s">
        <v>60</v>
      </c>
      <c r="C22" s="74"/>
      <c r="D22" s="74"/>
      <c r="E22" s="74"/>
      <c r="F22" s="74"/>
      <c r="G22" s="74"/>
      <c r="H22" s="74"/>
      <c r="I22" s="74"/>
      <c r="J22" s="74"/>
      <c r="K22" s="80"/>
      <c r="L22" s="80"/>
    </row>
    <row r="23" spans="2:12" s="76" customFormat="1" ht="30" customHeight="1" x14ac:dyDescent="0.3">
      <c r="B23" s="374" t="s">
        <v>173</v>
      </c>
      <c r="C23" s="374"/>
      <c r="D23" s="374"/>
      <c r="E23" s="374"/>
      <c r="F23" s="374"/>
      <c r="G23" s="374"/>
      <c r="H23" s="374"/>
      <c r="I23" s="374"/>
      <c r="J23" s="374"/>
      <c r="K23" s="374"/>
      <c r="L23" s="374"/>
    </row>
    <row r="24" spans="2:12" s="76" customFormat="1" ht="19.5" customHeight="1" x14ac:dyDescent="0.3">
      <c r="B24" s="82" t="s">
        <v>61</v>
      </c>
      <c r="C24" s="83">
        <f>SUM(G47:G85)+SUM(I47:I85)+I88</f>
        <v>0</v>
      </c>
      <c r="K24" s="80"/>
      <c r="L24" s="80"/>
    </row>
    <row r="25" spans="2:12" s="76" customFormat="1" ht="19.5" customHeight="1" x14ac:dyDescent="0.3">
      <c r="B25" s="82" t="s">
        <v>62</v>
      </c>
      <c r="C25" s="83">
        <f>+C26-C24</f>
        <v>0</v>
      </c>
      <c r="K25" s="80"/>
      <c r="L25" s="80"/>
    </row>
    <row r="26" spans="2:12" s="76" customFormat="1" ht="19.5" customHeight="1" x14ac:dyDescent="0.3">
      <c r="B26" s="84" t="s">
        <v>63</v>
      </c>
      <c r="C26" s="85">
        <f>+K89</f>
        <v>0</v>
      </c>
      <c r="K26" s="80"/>
      <c r="L26" s="80"/>
    </row>
    <row r="27" spans="2:12" s="76" customFormat="1" ht="6.75" customHeight="1" x14ac:dyDescent="0.3">
      <c r="B27" s="375"/>
      <c r="C27" s="375"/>
      <c r="D27" s="375"/>
      <c r="E27" s="375"/>
      <c r="F27" s="375"/>
      <c r="G27" s="375"/>
      <c r="H27" s="375"/>
      <c r="I27" s="375"/>
      <c r="J27" s="375"/>
      <c r="K27" s="375"/>
      <c r="L27" s="375"/>
    </row>
    <row r="28" spans="2:12" s="76" customFormat="1" ht="17" hidden="1" x14ac:dyDescent="0.4">
      <c r="B28" s="86" t="s">
        <v>64</v>
      </c>
      <c r="C28" s="74"/>
      <c r="D28" s="74"/>
      <c r="E28" s="74"/>
      <c r="F28" s="74"/>
      <c r="G28" s="74"/>
      <c r="H28" s="74"/>
      <c r="I28" s="74"/>
      <c r="J28" s="74"/>
      <c r="K28" s="80"/>
      <c r="L28" s="80"/>
    </row>
    <row r="29" spans="2:12" s="76" customFormat="1" ht="45.65" customHeight="1" x14ac:dyDescent="0.3">
      <c r="B29" s="374" t="s">
        <v>205</v>
      </c>
      <c r="C29" s="374"/>
      <c r="D29" s="374"/>
      <c r="E29" s="374"/>
      <c r="F29" s="374"/>
      <c r="G29" s="374"/>
      <c r="H29" s="374"/>
      <c r="I29" s="374"/>
      <c r="J29" s="374"/>
      <c r="K29" s="374"/>
      <c r="L29" s="374"/>
    </row>
    <row r="30" spans="2:12" s="76" customFormat="1" ht="13" hidden="1" x14ac:dyDescent="0.3">
      <c r="B30" s="136"/>
      <c r="C30" s="137"/>
      <c r="D30" s="370"/>
      <c r="E30" s="370"/>
      <c r="F30" s="87"/>
      <c r="G30" s="87"/>
      <c r="H30" s="87"/>
      <c r="I30" s="87"/>
      <c r="J30" s="87"/>
      <c r="K30" s="87"/>
      <c r="L30" s="87"/>
    </row>
    <row r="31" spans="2:12" s="78" customFormat="1" ht="24.75" customHeight="1" x14ac:dyDescent="0.35">
      <c r="B31" s="368" t="s">
        <v>207</v>
      </c>
      <c r="C31" s="369"/>
      <c r="D31" s="371"/>
      <c r="E31" s="372"/>
      <c r="F31" s="87"/>
      <c r="G31" s="87"/>
      <c r="H31" s="87"/>
      <c r="I31" s="87"/>
      <c r="J31" s="87"/>
      <c r="K31" s="87"/>
      <c r="L31" s="87"/>
    </row>
    <row r="32" spans="2:12" s="78" customFormat="1" ht="24.75" customHeight="1" x14ac:dyDescent="0.35">
      <c r="B32" s="368" t="s">
        <v>208</v>
      </c>
      <c r="C32" s="369"/>
      <c r="D32" s="371"/>
      <c r="E32" s="372"/>
      <c r="F32" s="87"/>
      <c r="G32" s="87"/>
      <c r="H32" s="87"/>
      <c r="I32" s="87"/>
      <c r="J32" s="87"/>
      <c r="K32" s="87"/>
      <c r="L32" s="87"/>
    </row>
    <row r="33" spans="2:13" s="78" customFormat="1" ht="24.75" customHeight="1" x14ac:dyDescent="0.35">
      <c r="B33" s="368" t="s">
        <v>217</v>
      </c>
      <c r="C33" s="369"/>
      <c r="D33" s="337"/>
      <c r="E33" s="338"/>
      <c r="F33" s="87"/>
      <c r="G33" s="87"/>
      <c r="H33" s="87"/>
      <c r="I33" s="87"/>
      <c r="J33" s="87"/>
      <c r="K33" s="87"/>
      <c r="L33" s="87"/>
    </row>
    <row r="34" spans="2:13" s="78" customFormat="1" ht="10.5" customHeight="1" x14ac:dyDescent="0.35">
      <c r="B34" s="87"/>
      <c r="C34" s="87"/>
      <c r="D34" s="87"/>
      <c r="E34" s="87"/>
      <c r="F34" s="87"/>
      <c r="G34" s="87"/>
      <c r="H34" s="87"/>
      <c r="I34" s="87"/>
      <c r="J34" s="87"/>
      <c r="K34" s="87"/>
      <c r="L34" s="87"/>
    </row>
    <row r="35" spans="2:13" s="78" customFormat="1" ht="10.5" customHeight="1" x14ac:dyDescent="0.35">
      <c r="B35" s="87"/>
      <c r="C35" s="87"/>
      <c r="D35" s="87"/>
      <c r="E35" s="87"/>
      <c r="F35" s="87"/>
      <c r="G35" s="87"/>
      <c r="H35" s="87"/>
      <c r="I35" s="87"/>
      <c r="J35" s="87"/>
      <c r="K35" s="87"/>
      <c r="L35" s="87"/>
    </row>
    <row r="36" spans="2:13" s="76" customFormat="1" ht="86.5" customHeight="1" x14ac:dyDescent="0.3">
      <c r="B36" s="326" t="s">
        <v>122</v>
      </c>
      <c r="C36" s="326"/>
      <c r="D36" s="326"/>
      <c r="E36" s="326"/>
      <c r="F36" s="326"/>
      <c r="G36" s="326"/>
      <c r="H36" s="326"/>
      <c r="I36" s="326"/>
      <c r="J36" s="326"/>
      <c r="K36" s="326"/>
      <c r="L36" s="326"/>
    </row>
    <row r="37" spans="2:13" s="76" customFormat="1" ht="17" hidden="1" x14ac:dyDescent="0.3">
      <c r="B37" s="79" t="s">
        <v>65</v>
      </c>
      <c r="C37" s="88"/>
      <c r="D37" s="89"/>
      <c r="E37" s="89"/>
      <c r="F37" s="81"/>
      <c r="G37" s="81"/>
      <c r="H37" s="81"/>
      <c r="I37" s="81"/>
      <c r="J37" s="81"/>
      <c r="K37" s="81"/>
      <c r="L37" s="81"/>
    </row>
    <row r="38" spans="2:13" s="76" customFormat="1" ht="47.5" customHeight="1" x14ac:dyDescent="0.3">
      <c r="B38" s="326" t="s">
        <v>123</v>
      </c>
      <c r="C38" s="326"/>
      <c r="D38" s="326"/>
      <c r="E38" s="326"/>
      <c r="F38" s="326"/>
      <c r="G38" s="326"/>
      <c r="H38" s="326"/>
      <c r="I38" s="326"/>
      <c r="J38" s="326"/>
      <c r="K38" s="326"/>
      <c r="L38" s="326"/>
    </row>
    <row r="39" spans="2:13" s="76" customFormat="1" ht="17" hidden="1" x14ac:dyDescent="0.3">
      <c r="B39" s="79" t="s">
        <v>124</v>
      </c>
      <c r="C39" s="88"/>
      <c r="D39" s="89"/>
      <c r="E39" s="89"/>
      <c r="F39" s="81"/>
      <c r="G39" s="81"/>
      <c r="H39" s="81"/>
      <c r="I39" s="81"/>
      <c r="J39" s="81"/>
      <c r="K39" s="81"/>
      <c r="L39" s="81"/>
    </row>
    <row r="40" spans="2:13" s="76" customFormat="1" ht="199.5" customHeight="1" x14ac:dyDescent="0.3">
      <c r="B40" s="326" t="s">
        <v>130</v>
      </c>
      <c r="C40" s="326"/>
      <c r="D40" s="326"/>
      <c r="E40" s="326"/>
      <c r="F40" s="326"/>
      <c r="G40" s="326"/>
      <c r="H40" s="326"/>
      <c r="I40" s="326"/>
      <c r="J40" s="326"/>
      <c r="K40" s="326"/>
      <c r="L40" s="326"/>
    </row>
    <row r="41" spans="2:13" s="76" customFormat="1" ht="210.75" customHeight="1" x14ac:dyDescent="0.3">
      <c r="B41" s="326" t="s">
        <v>125</v>
      </c>
      <c r="C41" s="326"/>
      <c r="D41" s="326"/>
      <c r="E41" s="326"/>
      <c r="F41" s="326"/>
      <c r="G41" s="326"/>
      <c r="H41" s="326"/>
      <c r="I41" s="326"/>
      <c r="J41" s="326"/>
      <c r="K41" s="326"/>
      <c r="L41" s="326"/>
    </row>
    <row r="44" spans="2:13" s="76" customFormat="1" ht="20.149999999999999" customHeight="1" thickBot="1" x14ac:dyDescent="0.35">
      <c r="B44" s="344" t="s">
        <v>144</v>
      </c>
      <c r="C44" s="344"/>
      <c r="D44" s="89"/>
      <c r="E44" s="89"/>
      <c r="F44" s="81"/>
      <c r="G44" s="81"/>
      <c r="H44" s="81"/>
      <c r="I44" s="81"/>
      <c r="J44" s="81"/>
      <c r="K44" s="81"/>
      <c r="L44" s="81"/>
    </row>
    <row r="45" spans="2:13" s="76" customFormat="1" ht="13" x14ac:dyDescent="0.3">
      <c r="B45" s="317" t="s">
        <v>3</v>
      </c>
      <c r="C45" s="318"/>
      <c r="D45" s="318"/>
      <c r="E45" s="321" t="s">
        <v>121</v>
      </c>
      <c r="F45" s="224" t="s">
        <v>4</v>
      </c>
      <c r="G45" s="226" t="s">
        <v>59</v>
      </c>
      <c r="H45" s="226"/>
      <c r="I45" s="226" t="s">
        <v>231</v>
      </c>
      <c r="J45" s="226"/>
      <c r="K45" s="226" t="s">
        <v>232</v>
      </c>
      <c r="L45" s="226"/>
      <c r="M45" s="78"/>
    </row>
    <row r="46" spans="2:13" s="76" customFormat="1" ht="17.25" customHeight="1" thickBot="1" x14ac:dyDescent="0.35">
      <c r="B46" s="319"/>
      <c r="C46" s="320"/>
      <c r="D46" s="320"/>
      <c r="E46" s="322"/>
      <c r="F46" s="225"/>
      <c r="G46" s="58" t="s">
        <v>10</v>
      </c>
      <c r="H46" s="58" t="s">
        <v>11</v>
      </c>
      <c r="I46" s="58" t="s">
        <v>10</v>
      </c>
      <c r="J46" s="58" t="s">
        <v>11</v>
      </c>
      <c r="K46" s="228"/>
      <c r="L46" s="228"/>
      <c r="M46" s="78"/>
    </row>
    <row r="47" spans="2:13" s="78" customFormat="1" ht="17.25" customHeight="1" x14ac:dyDescent="0.35">
      <c r="B47" s="345" t="s">
        <v>174</v>
      </c>
      <c r="C47" s="222" t="s">
        <v>99</v>
      </c>
      <c r="D47" s="222"/>
      <c r="E47" s="222"/>
      <c r="F47" s="222"/>
      <c r="G47" s="175"/>
      <c r="H47" s="175"/>
      <c r="I47" s="175"/>
      <c r="J47" s="175"/>
      <c r="K47" s="51">
        <f t="shared" ref="K47:K85" si="0">IFERROR(H47+J47,)</f>
        <v>0</v>
      </c>
      <c r="L47" s="348">
        <f t="shared" ref="L47" si="1">SUM(K47:K50)</f>
        <v>0</v>
      </c>
    </row>
    <row r="48" spans="2:13" s="78" customFormat="1" ht="17.25" customHeight="1" x14ac:dyDescent="0.35">
      <c r="B48" s="346"/>
      <c r="C48" s="222" t="s">
        <v>100</v>
      </c>
      <c r="D48" s="222"/>
      <c r="E48" s="222"/>
      <c r="F48" s="222"/>
      <c r="G48" s="175"/>
      <c r="H48" s="175"/>
      <c r="I48" s="175"/>
      <c r="J48" s="175"/>
      <c r="K48" s="51">
        <f t="shared" si="0"/>
        <v>0</v>
      </c>
      <c r="L48" s="232"/>
    </row>
    <row r="49" spans="2:12" s="78" customFormat="1" ht="17.25" customHeight="1" x14ac:dyDescent="0.35">
      <c r="B49" s="346"/>
      <c r="C49" s="212" t="s">
        <v>235</v>
      </c>
      <c r="D49" s="170" t="s">
        <v>236</v>
      </c>
      <c r="E49" s="168"/>
      <c r="F49" s="62" t="s">
        <v>155</v>
      </c>
      <c r="G49" s="175"/>
      <c r="H49" s="175"/>
      <c r="I49" s="175"/>
      <c r="J49" s="175"/>
      <c r="K49" s="51">
        <f t="shared" si="0"/>
        <v>0</v>
      </c>
      <c r="L49" s="232"/>
    </row>
    <row r="50" spans="2:12" s="78" customFormat="1" ht="17.25" customHeight="1" x14ac:dyDescent="0.35">
      <c r="B50" s="347"/>
      <c r="C50" s="213"/>
      <c r="D50" s="171" t="s">
        <v>237</v>
      </c>
      <c r="E50" s="168"/>
      <c r="F50" s="62" t="s">
        <v>155</v>
      </c>
      <c r="G50" s="175"/>
      <c r="H50" s="175"/>
      <c r="I50" s="175"/>
      <c r="J50" s="175"/>
      <c r="K50" s="51">
        <f t="shared" si="0"/>
        <v>0</v>
      </c>
      <c r="L50" s="233"/>
    </row>
    <row r="51" spans="2:12" s="78" customFormat="1" ht="17.25" customHeight="1" x14ac:dyDescent="0.35">
      <c r="B51" s="339" t="s">
        <v>176</v>
      </c>
      <c r="C51" s="222" t="s">
        <v>82</v>
      </c>
      <c r="D51" s="93" t="s">
        <v>77</v>
      </c>
      <c r="E51" s="113"/>
      <c r="F51" s="62" t="s">
        <v>155</v>
      </c>
      <c r="G51" s="175"/>
      <c r="H51" s="175"/>
      <c r="I51" s="175"/>
      <c r="J51" s="175"/>
      <c r="K51" s="51">
        <f t="shared" si="0"/>
        <v>0</v>
      </c>
      <c r="L51" s="256">
        <f>SUM(K51:K73)</f>
        <v>0</v>
      </c>
    </row>
    <row r="52" spans="2:12" s="78" customFormat="1" ht="17.25" customHeight="1" x14ac:dyDescent="0.35">
      <c r="B52" s="268"/>
      <c r="C52" s="222"/>
      <c r="D52" s="94" t="s">
        <v>78</v>
      </c>
      <c r="E52" s="113"/>
      <c r="F52" s="62" t="s">
        <v>155</v>
      </c>
      <c r="G52" s="175"/>
      <c r="H52" s="175"/>
      <c r="I52" s="175"/>
      <c r="J52" s="175"/>
      <c r="K52" s="51">
        <f t="shared" si="0"/>
        <v>0</v>
      </c>
      <c r="L52" s="256"/>
    </row>
    <row r="53" spans="2:12" s="78" customFormat="1" ht="17.25" customHeight="1" x14ac:dyDescent="0.35">
      <c r="B53" s="268"/>
      <c r="C53" s="222"/>
      <c r="D53" s="94" t="s">
        <v>79</v>
      </c>
      <c r="E53" s="113"/>
      <c r="F53" s="62" t="s">
        <v>155</v>
      </c>
      <c r="G53" s="175"/>
      <c r="H53" s="175"/>
      <c r="I53" s="175"/>
      <c r="J53" s="175"/>
      <c r="K53" s="51">
        <f t="shared" si="0"/>
        <v>0</v>
      </c>
      <c r="L53" s="256"/>
    </row>
    <row r="54" spans="2:12" s="78" customFormat="1" ht="17.25" customHeight="1" x14ac:dyDescent="0.35">
      <c r="B54" s="268"/>
      <c r="C54" s="222" t="s">
        <v>83</v>
      </c>
      <c r="D54" s="93" t="s">
        <v>77</v>
      </c>
      <c r="E54" s="113"/>
      <c r="F54" s="62" t="s">
        <v>155</v>
      </c>
      <c r="G54" s="175"/>
      <c r="H54" s="175"/>
      <c r="I54" s="175"/>
      <c r="J54" s="175"/>
      <c r="K54" s="51">
        <f t="shared" si="0"/>
        <v>0</v>
      </c>
      <c r="L54" s="256"/>
    </row>
    <row r="55" spans="2:12" s="78" customFormat="1" ht="17.25" customHeight="1" x14ac:dyDescent="0.35">
      <c r="B55" s="268"/>
      <c r="C55" s="222"/>
      <c r="D55" s="94" t="s">
        <v>78</v>
      </c>
      <c r="E55" s="113"/>
      <c r="F55" s="62" t="s">
        <v>155</v>
      </c>
      <c r="G55" s="175"/>
      <c r="H55" s="175"/>
      <c r="I55" s="175"/>
      <c r="J55" s="175"/>
      <c r="K55" s="51">
        <f t="shared" si="0"/>
        <v>0</v>
      </c>
      <c r="L55" s="256"/>
    </row>
    <row r="56" spans="2:12" s="78" customFormat="1" ht="17.25" customHeight="1" x14ac:dyDescent="0.35">
      <c r="B56" s="268"/>
      <c r="C56" s="222"/>
      <c r="D56" s="94" t="s">
        <v>79</v>
      </c>
      <c r="E56" s="113"/>
      <c r="F56" s="62" t="s">
        <v>155</v>
      </c>
      <c r="G56" s="175"/>
      <c r="H56" s="175"/>
      <c r="I56" s="175"/>
      <c r="J56" s="175"/>
      <c r="K56" s="51">
        <f t="shared" si="0"/>
        <v>0</v>
      </c>
      <c r="L56" s="256"/>
    </row>
    <row r="57" spans="2:12" s="78" customFormat="1" ht="17.25" customHeight="1" x14ac:dyDescent="0.35">
      <c r="B57" s="268"/>
      <c r="C57" s="222" t="s">
        <v>84</v>
      </c>
      <c r="D57" s="93" t="s">
        <v>77</v>
      </c>
      <c r="E57" s="113"/>
      <c r="F57" s="62" t="s">
        <v>155</v>
      </c>
      <c r="G57" s="175"/>
      <c r="H57" s="175"/>
      <c r="I57" s="175"/>
      <c r="J57" s="175"/>
      <c r="K57" s="51">
        <f t="shared" si="0"/>
        <v>0</v>
      </c>
      <c r="L57" s="256"/>
    </row>
    <row r="58" spans="2:12" s="78" customFormat="1" ht="17.25" customHeight="1" x14ac:dyDescent="0.35">
      <c r="B58" s="268"/>
      <c r="C58" s="222"/>
      <c r="D58" s="94" t="s">
        <v>78</v>
      </c>
      <c r="E58" s="113"/>
      <c r="F58" s="62" t="s">
        <v>155</v>
      </c>
      <c r="G58" s="175"/>
      <c r="H58" s="175"/>
      <c r="I58" s="175"/>
      <c r="J58" s="175"/>
      <c r="K58" s="51">
        <f t="shared" si="0"/>
        <v>0</v>
      </c>
      <c r="L58" s="256"/>
    </row>
    <row r="59" spans="2:12" s="78" customFormat="1" ht="17.25" customHeight="1" x14ac:dyDescent="0.35">
      <c r="B59" s="268"/>
      <c r="C59" s="222"/>
      <c r="D59" s="94" t="s">
        <v>79</v>
      </c>
      <c r="E59" s="113"/>
      <c r="F59" s="62" t="s">
        <v>155</v>
      </c>
      <c r="G59" s="175"/>
      <c r="H59" s="175"/>
      <c r="I59" s="175"/>
      <c r="J59" s="175"/>
      <c r="K59" s="51">
        <f t="shared" si="0"/>
        <v>0</v>
      </c>
      <c r="L59" s="256"/>
    </row>
    <row r="60" spans="2:12" s="78" customFormat="1" ht="17.25" customHeight="1" x14ac:dyDescent="0.35">
      <c r="B60" s="268"/>
      <c r="C60" s="222" t="s">
        <v>88</v>
      </c>
      <c r="D60" s="93" t="s">
        <v>85</v>
      </c>
      <c r="E60" s="113"/>
      <c r="F60" s="62" t="s">
        <v>155</v>
      </c>
      <c r="G60" s="175"/>
      <c r="H60" s="175"/>
      <c r="I60" s="175"/>
      <c r="J60" s="175"/>
      <c r="K60" s="51">
        <f t="shared" si="0"/>
        <v>0</v>
      </c>
      <c r="L60" s="256"/>
    </row>
    <row r="61" spans="2:12" s="78" customFormat="1" ht="17.25" customHeight="1" x14ac:dyDescent="0.35">
      <c r="B61" s="268"/>
      <c r="C61" s="222"/>
      <c r="D61" s="94" t="s">
        <v>86</v>
      </c>
      <c r="E61" s="113"/>
      <c r="F61" s="62" t="s">
        <v>155</v>
      </c>
      <c r="G61" s="175"/>
      <c r="H61" s="175"/>
      <c r="I61" s="175"/>
      <c r="J61" s="175"/>
      <c r="K61" s="51">
        <f t="shared" si="0"/>
        <v>0</v>
      </c>
      <c r="L61" s="256"/>
    </row>
    <row r="62" spans="2:12" s="78" customFormat="1" ht="17.25" customHeight="1" x14ac:dyDescent="0.35">
      <c r="B62" s="268"/>
      <c r="C62" s="222"/>
      <c r="D62" s="94" t="s">
        <v>87</v>
      </c>
      <c r="E62" s="113"/>
      <c r="F62" s="62" t="s">
        <v>155</v>
      </c>
      <c r="G62" s="175"/>
      <c r="H62" s="175"/>
      <c r="I62" s="175"/>
      <c r="J62" s="175"/>
      <c r="K62" s="51">
        <f t="shared" si="0"/>
        <v>0</v>
      </c>
      <c r="L62" s="256"/>
    </row>
    <row r="63" spans="2:12" s="78" customFormat="1" ht="17.25" customHeight="1" x14ac:dyDescent="0.35">
      <c r="B63" s="268"/>
      <c r="C63" s="222" t="s">
        <v>91</v>
      </c>
      <c r="D63" s="93" t="s">
        <v>89</v>
      </c>
      <c r="E63" s="113"/>
      <c r="F63" s="62" t="s">
        <v>155</v>
      </c>
      <c r="G63" s="175"/>
      <c r="H63" s="175"/>
      <c r="I63" s="175"/>
      <c r="J63" s="175"/>
      <c r="K63" s="51">
        <f t="shared" si="0"/>
        <v>0</v>
      </c>
      <c r="L63" s="256"/>
    </row>
    <row r="64" spans="2:12" s="78" customFormat="1" ht="17.25" customHeight="1" x14ac:dyDescent="0.35">
      <c r="B64" s="268"/>
      <c r="C64" s="222"/>
      <c r="D64" s="94" t="s">
        <v>90</v>
      </c>
      <c r="E64" s="113"/>
      <c r="F64" s="62" t="s">
        <v>155</v>
      </c>
      <c r="G64" s="175"/>
      <c r="H64" s="175"/>
      <c r="I64" s="175"/>
      <c r="J64" s="175"/>
      <c r="K64" s="51">
        <f t="shared" si="0"/>
        <v>0</v>
      </c>
      <c r="L64" s="256"/>
    </row>
    <row r="65" spans="2:12" s="78" customFormat="1" ht="17.25" customHeight="1" x14ac:dyDescent="0.35">
      <c r="B65" s="268"/>
      <c r="C65" s="222" t="s">
        <v>92</v>
      </c>
      <c r="D65" s="93" t="s">
        <v>89</v>
      </c>
      <c r="E65" s="113"/>
      <c r="F65" s="62" t="s">
        <v>155</v>
      </c>
      <c r="G65" s="175"/>
      <c r="H65" s="175"/>
      <c r="I65" s="175"/>
      <c r="J65" s="175"/>
      <c r="K65" s="51">
        <f t="shared" si="0"/>
        <v>0</v>
      </c>
      <c r="L65" s="256"/>
    </row>
    <row r="66" spans="2:12" s="78" customFormat="1" ht="17.25" customHeight="1" x14ac:dyDescent="0.35">
      <c r="B66" s="268"/>
      <c r="C66" s="222"/>
      <c r="D66" s="94" t="s">
        <v>90</v>
      </c>
      <c r="E66" s="113"/>
      <c r="F66" s="62" t="s">
        <v>155</v>
      </c>
      <c r="G66" s="175"/>
      <c r="H66" s="175"/>
      <c r="I66" s="175"/>
      <c r="J66" s="175"/>
      <c r="K66" s="51">
        <f t="shared" si="0"/>
        <v>0</v>
      </c>
      <c r="L66" s="256"/>
    </row>
    <row r="67" spans="2:12" s="78" customFormat="1" ht="17.25" customHeight="1" x14ac:dyDescent="0.35">
      <c r="B67" s="268"/>
      <c r="C67" s="223" t="s">
        <v>95</v>
      </c>
      <c r="D67" s="93" t="s">
        <v>93</v>
      </c>
      <c r="E67" s="113"/>
      <c r="F67" s="62" t="s">
        <v>155</v>
      </c>
      <c r="G67" s="175"/>
      <c r="H67" s="175"/>
      <c r="I67" s="175"/>
      <c r="J67" s="175"/>
      <c r="K67" s="51">
        <f t="shared" si="0"/>
        <v>0</v>
      </c>
      <c r="L67" s="256"/>
    </row>
    <row r="68" spans="2:12" s="78" customFormat="1" ht="17.25" customHeight="1" x14ac:dyDescent="0.35">
      <c r="B68" s="268"/>
      <c r="C68" s="409"/>
      <c r="D68" s="94" t="s">
        <v>94</v>
      </c>
      <c r="E68" s="113"/>
      <c r="F68" s="62" t="s">
        <v>155</v>
      </c>
      <c r="G68" s="175"/>
      <c r="H68" s="175"/>
      <c r="I68" s="175"/>
      <c r="J68" s="175"/>
      <c r="K68" s="51">
        <f t="shared" si="0"/>
        <v>0</v>
      </c>
      <c r="L68" s="256"/>
    </row>
    <row r="69" spans="2:12" s="78" customFormat="1" ht="17.25" customHeight="1" x14ac:dyDescent="0.35">
      <c r="B69" s="268"/>
      <c r="C69" s="293" t="s">
        <v>96</v>
      </c>
      <c r="D69" s="93" t="s">
        <v>77</v>
      </c>
      <c r="E69" s="113"/>
      <c r="F69" s="62" t="s">
        <v>155</v>
      </c>
      <c r="G69" s="175"/>
      <c r="H69" s="175"/>
      <c r="I69" s="175"/>
      <c r="J69" s="175"/>
      <c r="K69" s="51">
        <f t="shared" si="0"/>
        <v>0</v>
      </c>
      <c r="L69" s="256"/>
    </row>
    <row r="70" spans="2:12" s="78" customFormat="1" ht="17.25" customHeight="1" x14ac:dyDescent="0.35">
      <c r="B70" s="268"/>
      <c r="C70" s="293"/>
      <c r="D70" s="94" t="s">
        <v>78</v>
      </c>
      <c r="E70" s="113"/>
      <c r="F70" s="62" t="s">
        <v>155</v>
      </c>
      <c r="G70" s="175"/>
      <c r="H70" s="175"/>
      <c r="I70" s="175"/>
      <c r="J70" s="175"/>
      <c r="K70" s="51">
        <f t="shared" si="0"/>
        <v>0</v>
      </c>
      <c r="L70" s="256"/>
    </row>
    <row r="71" spans="2:12" s="78" customFormat="1" ht="17.25" customHeight="1" x14ac:dyDescent="0.35">
      <c r="B71" s="268"/>
      <c r="C71" s="293"/>
      <c r="D71" s="94" t="s">
        <v>79</v>
      </c>
      <c r="E71" s="113"/>
      <c r="F71" s="62" t="s">
        <v>155</v>
      </c>
      <c r="G71" s="175"/>
      <c r="H71" s="175"/>
      <c r="I71" s="175"/>
      <c r="J71" s="175"/>
      <c r="K71" s="51">
        <f t="shared" si="0"/>
        <v>0</v>
      </c>
      <c r="L71" s="256"/>
    </row>
    <row r="72" spans="2:12" s="78" customFormat="1" ht="17.25" customHeight="1" x14ac:dyDescent="0.35">
      <c r="B72" s="268"/>
      <c r="C72" s="293" t="s">
        <v>98</v>
      </c>
      <c r="D72" s="93" t="s">
        <v>97</v>
      </c>
      <c r="E72" s="113"/>
      <c r="F72" s="62" t="s">
        <v>155</v>
      </c>
      <c r="G72" s="175"/>
      <c r="H72" s="175"/>
      <c r="I72" s="175"/>
      <c r="J72" s="175"/>
      <c r="K72" s="51">
        <f t="shared" si="0"/>
        <v>0</v>
      </c>
      <c r="L72" s="256"/>
    </row>
    <row r="73" spans="2:12" s="78" customFormat="1" ht="17.25" customHeight="1" x14ac:dyDescent="0.35">
      <c r="B73" s="268"/>
      <c r="C73" s="293"/>
      <c r="D73" s="95" t="s">
        <v>79</v>
      </c>
      <c r="E73" s="113"/>
      <c r="F73" s="62" t="s">
        <v>155</v>
      </c>
      <c r="G73" s="175"/>
      <c r="H73" s="175"/>
      <c r="I73" s="175"/>
      <c r="J73" s="175"/>
      <c r="K73" s="51">
        <f t="shared" si="0"/>
        <v>0</v>
      </c>
      <c r="L73" s="256"/>
    </row>
    <row r="74" spans="2:12" s="78" customFormat="1" ht="17.25" customHeight="1" x14ac:dyDescent="0.35">
      <c r="B74" s="376" t="s">
        <v>178</v>
      </c>
      <c r="C74" s="294" t="s">
        <v>80</v>
      </c>
      <c r="D74" s="94" t="s">
        <v>74</v>
      </c>
      <c r="E74" s="113"/>
      <c r="F74" s="62" t="s">
        <v>155</v>
      </c>
      <c r="G74" s="175"/>
      <c r="H74" s="175"/>
      <c r="I74" s="175"/>
      <c r="J74" s="175"/>
      <c r="K74" s="51">
        <f t="shared" si="0"/>
        <v>0</v>
      </c>
      <c r="L74" s="231">
        <f>SUM(K74:K81)</f>
        <v>0</v>
      </c>
    </row>
    <row r="75" spans="2:12" s="78" customFormat="1" ht="17.25" customHeight="1" x14ac:dyDescent="0.35">
      <c r="B75" s="377"/>
      <c r="C75" s="294"/>
      <c r="D75" s="94" t="s">
        <v>75</v>
      </c>
      <c r="E75" s="113"/>
      <c r="F75" s="62" t="s">
        <v>155</v>
      </c>
      <c r="G75" s="175"/>
      <c r="H75" s="175"/>
      <c r="I75" s="175"/>
      <c r="J75" s="175"/>
      <c r="K75" s="51">
        <f t="shared" si="0"/>
        <v>0</v>
      </c>
      <c r="L75" s="232"/>
    </row>
    <row r="76" spans="2:12" s="78" customFormat="1" ht="17.25" customHeight="1" x14ac:dyDescent="0.35">
      <c r="B76" s="377"/>
      <c r="C76" s="294" t="s">
        <v>81</v>
      </c>
      <c r="D76" s="94" t="s">
        <v>74</v>
      </c>
      <c r="E76" s="113"/>
      <c r="F76" s="62" t="s">
        <v>155</v>
      </c>
      <c r="G76" s="175"/>
      <c r="H76" s="175"/>
      <c r="I76" s="175"/>
      <c r="J76" s="175"/>
      <c r="K76" s="51">
        <f t="shared" si="0"/>
        <v>0</v>
      </c>
      <c r="L76" s="232"/>
    </row>
    <row r="77" spans="2:12" s="78" customFormat="1" ht="17.25" customHeight="1" x14ac:dyDescent="0.35">
      <c r="B77" s="377"/>
      <c r="C77" s="294"/>
      <c r="D77" s="94" t="s">
        <v>75</v>
      </c>
      <c r="E77" s="113"/>
      <c r="F77" s="62" t="s">
        <v>155</v>
      </c>
      <c r="G77" s="175"/>
      <c r="H77" s="175"/>
      <c r="I77" s="175"/>
      <c r="J77" s="175"/>
      <c r="K77" s="51">
        <f t="shared" si="0"/>
        <v>0</v>
      </c>
      <c r="L77" s="232"/>
    </row>
    <row r="78" spans="2:12" s="78" customFormat="1" ht="17.25" customHeight="1" x14ac:dyDescent="0.35">
      <c r="B78" s="377"/>
      <c r="C78" s="214" t="s">
        <v>240</v>
      </c>
      <c r="D78" s="215"/>
      <c r="E78" s="113"/>
      <c r="F78" s="62" t="s">
        <v>155</v>
      </c>
      <c r="G78" s="175"/>
      <c r="H78" s="175"/>
      <c r="I78" s="175"/>
      <c r="J78" s="175"/>
      <c r="K78" s="51">
        <f t="shared" si="0"/>
        <v>0</v>
      </c>
      <c r="L78" s="232"/>
    </row>
    <row r="79" spans="2:12" s="78" customFormat="1" ht="17.25" customHeight="1" x14ac:dyDescent="0.35">
      <c r="B79" s="377"/>
      <c r="C79" s="216" t="s">
        <v>238</v>
      </c>
      <c r="D79" s="172" t="s">
        <v>74</v>
      </c>
      <c r="E79" s="113"/>
      <c r="F79" s="62" t="s">
        <v>155</v>
      </c>
      <c r="G79" s="175"/>
      <c r="H79" s="175"/>
      <c r="I79" s="175"/>
      <c r="J79" s="175"/>
      <c r="K79" s="51">
        <f t="shared" si="0"/>
        <v>0</v>
      </c>
      <c r="L79" s="232"/>
    </row>
    <row r="80" spans="2:12" s="78" customFormat="1" ht="17.25" customHeight="1" x14ac:dyDescent="0.35">
      <c r="B80" s="377"/>
      <c r="C80" s="217"/>
      <c r="D80" s="172" t="s">
        <v>239</v>
      </c>
      <c r="E80" s="113"/>
      <c r="F80" s="62" t="s">
        <v>155</v>
      </c>
      <c r="G80" s="175"/>
      <c r="H80" s="175"/>
      <c r="I80" s="175"/>
      <c r="J80" s="175"/>
      <c r="K80" s="51">
        <f t="shared" si="0"/>
        <v>0</v>
      </c>
      <c r="L80" s="232"/>
    </row>
    <row r="81" spans="2:12" s="78" customFormat="1" ht="17.25" customHeight="1" x14ac:dyDescent="0.35">
      <c r="B81" s="378"/>
      <c r="C81" s="218"/>
      <c r="D81" s="172" t="s">
        <v>75</v>
      </c>
      <c r="E81" s="113"/>
      <c r="F81" s="62" t="s">
        <v>155</v>
      </c>
      <c r="G81" s="175"/>
      <c r="H81" s="175"/>
      <c r="I81" s="175"/>
      <c r="J81" s="175"/>
      <c r="K81" s="51">
        <f t="shared" si="0"/>
        <v>0</v>
      </c>
      <c r="L81" s="233"/>
    </row>
    <row r="82" spans="2:12" s="78" customFormat="1" ht="17.25" customHeight="1" x14ac:dyDescent="0.35">
      <c r="B82" s="339" t="s">
        <v>180</v>
      </c>
      <c r="C82" s="288" t="s">
        <v>68</v>
      </c>
      <c r="D82" s="334"/>
      <c r="E82" s="113"/>
      <c r="F82" s="139" t="s">
        <v>155</v>
      </c>
      <c r="G82" s="175"/>
      <c r="H82" s="175"/>
      <c r="I82" s="175"/>
      <c r="J82" s="175"/>
      <c r="K82" s="51">
        <f t="shared" si="0"/>
        <v>0</v>
      </c>
      <c r="L82" s="256">
        <f>SUM(K82:K83)</f>
        <v>0</v>
      </c>
    </row>
    <row r="83" spans="2:12" s="78" customFormat="1" ht="17.25" customHeight="1" x14ac:dyDescent="0.35">
      <c r="B83" s="268"/>
      <c r="C83" s="288" t="s">
        <v>102</v>
      </c>
      <c r="D83" s="288"/>
      <c r="E83" s="140"/>
      <c r="F83" s="62" t="s">
        <v>155</v>
      </c>
      <c r="G83" s="175"/>
      <c r="H83" s="175"/>
      <c r="I83" s="175"/>
      <c r="J83" s="175"/>
      <c r="K83" s="51">
        <f t="shared" si="0"/>
        <v>0</v>
      </c>
      <c r="L83" s="256"/>
    </row>
    <row r="84" spans="2:12" s="78" customFormat="1" ht="17.25" customHeight="1" x14ac:dyDescent="0.35">
      <c r="B84" s="339" t="s">
        <v>181</v>
      </c>
      <c r="C84" s="400" t="s">
        <v>101</v>
      </c>
      <c r="D84" s="401"/>
      <c r="E84" s="401"/>
      <c r="F84" s="402"/>
      <c r="G84" s="175"/>
      <c r="H84" s="175"/>
      <c r="I84" s="175"/>
      <c r="J84" s="175"/>
      <c r="K84" s="51">
        <f t="shared" si="0"/>
        <v>0</v>
      </c>
      <c r="L84" s="256">
        <f>SUM(K84:K85)</f>
        <v>0</v>
      </c>
    </row>
    <row r="85" spans="2:12" s="78" customFormat="1" ht="15.65" customHeight="1" thickBot="1" x14ac:dyDescent="0.4">
      <c r="B85" s="269"/>
      <c r="C85" s="403" t="s">
        <v>66</v>
      </c>
      <c r="D85" s="404"/>
      <c r="E85" s="404"/>
      <c r="F85" s="405"/>
      <c r="G85" s="176"/>
      <c r="H85" s="176"/>
      <c r="I85" s="176"/>
      <c r="J85" s="176"/>
      <c r="K85" s="56">
        <f t="shared" si="0"/>
        <v>0</v>
      </c>
      <c r="L85" s="257"/>
    </row>
    <row r="86" spans="2:12" s="96" customFormat="1" ht="20.5" customHeight="1" x14ac:dyDescent="0.35">
      <c r="B86" s="392" t="s">
        <v>116</v>
      </c>
      <c r="C86" s="393"/>
      <c r="D86" s="393"/>
      <c r="E86" s="393"/>
      <c r="F86" s="393"/>
      <c r="G86" s="393"/>
      <c r="H86" s="393"/>
      <c r="I86" s="393"/>
      <c r="J86" s="394"/>
      <c r="K86" s="395">
        <f>SUM(K47:K85)</f>
        <v>0</v>
      </c>
      <c r="L86" s="396"/>
    </row>
    <row r="87" spans="2:12" s="96" customFormat="1" ht="14.5" customHeight="1" x14ac:dyDescent="0.35">
      <c r="B87" s="352" t="s">
        <v>182</v>
      </c>
      <c r="C87" s="212" t="s">
        <v>105</v>
      </c>
      <c r="D87" s="354"/>
      <c r="E87" s="354"/>
      <c r="F87" s="354"/>
      <c r="G87" s="354"/>
      <c r="H87" s="355"/>
      <c r="I87" s="359" t="s">
        <v>10</v>
      </c>
      <c r="J87" s="360"/>
      <c r="K87" s="361" t="s">
        <v>11</v>
      </c>
      <c r="L87" s="361"/>
    </row>
    <row r="88" spans="2:12" s="78" customFormat="1" ht="20.5" customHeight="1" thickBot="1" x14ac:dyDescent="0.4">
      <c r="B88" s="353"/>
      <c r="C88" s="213"/>
      <c r="D88" s="356"/>
      <c r="E88" s="356"/>
      <c r="F88" s="356"/>
      <c r="G88" s="356"/>
      <c r="H88" s="357"/>
      <c r="I88" s="358"/>
      <c r="J88" s="358"/>
      <c r="K88" s="358"/>
      <c r="L88" s="358"/>
    </row>
    <row r="89" spans="2:12" s="96" customFormat="1" ht="21.65" customHeight="1" thickBot="1" x14ac:dyDescent="0.4">
      <c r="B89" s="387" t="s">
        <v>110</v>
      </c>
      <c r="C89" s="388"/>
      <c r="D89" s="388"/>
      <c r="E89" s="388"/>
      <c r="F89" s="388"/>
      <c r="G89" s="388"/>
      <c r="H89" s="388"/>
      <c r="I89" s="388"/>
      <c r="J89" s="389"/>
      <c r="K89" s="390">
        <f>IFERROR(+K88+K86,)</f>
        <v>0</v>
      </c>
      <c r="L89" s="391"/>
    </row>
    <row r="90" spans="2:12" s="78" customFormat="1" ht="15.75" customHeight="1" x14ac:dyDescent="0.35">
      <c r="B90" s="97"/>
      <c r="C90" s="97"/>
      <c r="D90" s="97"/>
      <c r="E90" s="97"/>
      <c r="F90" s="97"/>
      <c r="G90" s="97"/>
      <c r="H90" s="97"/>
      <c r="I90" s="97"/>
      <c r="J90" s="97"/>
      <c r="K90" s="97"/>
      <c r="L90" s="97"/>
    </row>
    <row r="91" spans="2:12" s="78" customFormat="1" ht="61.5" customHeight="1" x14ac:dyDescent="0.35">
      <c r="B91" s="397" t="s">
        <v>40</v>
      </c>
      <c r="C91" s="398"/>
      <c r="D91" s="398"/>
      <c r="E91" s="398"/>
      <c r="F91" s="398"/>
      <c r="G91" s="398"/>
      <c r="H91" s="398"/>
      <c r="I91" s="398"/>
      <c r="J91" s="398"/>
      <c r="K91" s="398"/>
      <c r="L91" s="399"/>
    </row>
    <row r="92" spans="2:12" s="78" customFormat="1" ht="43" customHeight="1" x14ac:dyDescent="0.35">
      <c r="B92" s="406"/>
      <c r="C92" s="407"/>
      <c r="D92" s="407"/>
      <c r="E92" s="407"/>
      <c r="F92" s="407"/>
      <c r="G92" s="407"/>
      <c r="H92" s="407"/>
      <c r="I92" s="407"/>
      <c r="J92" s="407"/>
      <c r="K92" s="407"/>
      <c r="L92" s="408"/>
    </row>
    <row r="93" spans="2:12" s="78" customFormat="1" ht="32.15" customHeight="1" x14ac:dyDescent="0.35">
      <c r="B93" s="381" t="s">
        <v>67</v>
      </c>
      <c r="C93" s="382"/>
      <c r="D93" s="382"/>
      <c r="E93" s="382"/>
      <c r="F93" s="382"/>
      <c r="G93" s="382"/>
      <c r="H93" s="382"/>
      <c r="I93" s="382"/>
      <c r="J93" s="382"/>
      <c r="K93" s="382"/>
      <c r="L93" s="383"/>
    </row>
    <row r="94" spans="2:12" s="78" customFormat="1" ht="7" customHeight="1" x14ac:dyDescent="0.35">
      <c r="B94" s="97"/>
      <c r="C94" s="97"/>
      <c r="D94" s="97"/>
      <c r="E94" s="97"/>
      <c r="F94" s="97"/>
      <c r="G94" s="97"/>
      <c r="H94" s="97"/>
      <c r="I94" s="97"/>
      <c r="J94" s="97"/>
      <c r="K94" s="97"/>
      <c r="L94" s="97"/>
    </row>
    <row r="95" spans="2:12" s="78" customFormat="1" ht="18.5" hidden="1" x14ac:dyDescent="0.45">
      <c r="B95" s="384" t="s">
        <v>126</v>
      </c>
      <c r="C95" s="385"/>
      <c r="D95" s="385"/>
      <c r="E95" s="385"/>
      <c r="F95" s="385"/>
      <c r="G95" s="385"/>
      <c r="H95" s="385"/>
      <c r="I95" s="385"/>
      <c r="J95" s="385"/>
      <c r="K95" s="385"/>
      <c r="L95" s="386"/>
    </row>
    <row r="96" spans="2:12" s="78" customFormat="1" ht="42" customHeight="1" x14ac:dyDescent="0.35">
      <c r="B96" s="331" t="s">
        <v>127</v>
      </c>
      <c r="C96" s="332"/>
      <c r="D96" s="332"/>
      <c r="E96" s="332"/>
      <c r="F96" s="332"/>
      <c r="G96" s="332"/>
      <c r="H96" s="332"/>
      <c r="I96" s="332"/>
      <c r="J96" s="332"/>
      <c r="K96" s="332"/>
      <c r="L96" s="333"/>
    </row>
    <row r="97" spans="2:12" s="78" customFormat="1" ht="41.25" customHeight="1" x14ac:dyDescent="0.35">
      <c r="B97" s="329" t="s">
        <v>216</v>
      </c>
      <c r="C97" s="329"/>
      <c r="D97" s="329"/>
      <c r="E97" s="329"/>
      <c r="F97" s="329"/>
      <c r="G97" s="330"/>
      <c r="H97" s="328"/>
      <c r="I97" s="328"/>
      <c r="J97" s="328"/>
      <c r="K97" s="328"/>
      <c r="L97" s="138"/>
    </row>
    <row r="98" spans="2:12" s="78" customFormat="1" ht="39" customHeight="1" x14ac:dyDescent="0.35">
      <c r="B98" s="327" t="s">
        <v>209</v>
      </c>
      <c r="C98" s="327"/>
      <c r="D98" s="327"/>
      <c r="E98" s="327"/>
      <c r="F98" s="327"/>
      <c r="G98" s="328"/>
      <c r="H98" s="328"/>
      <c r="I98" s="328"/>
      <c r="J98" s="328"/>
      <c r="K98" s="328"/>
      <c r="L98" s="138"/>
    </row>
    <row r="99" spans="2:12" s="78" customFormat="1" ht="51.75" customHeight="1" x14ac:dyDescent="0.35">
      <c r="B99" s="329" t="s">
        <v>211</v>
      </c>
      <c r="C99" s="329"/>
      <c r="D99" s="329"/>
      <c r="E99" s="329"/>
      <c r="F99" s="329"/>
      <c r="G99" s="330"/>
      <c r="H99" s="328"/>
      <c r="I99" s="328"/>
      <c r="J99" s="328"/>
      <c r="K99" s="328"/>
      <c r="L99" s="138"/>
    </row>
    <row r="100" spans="2:12" s="78" customFormat="1" ht="51.75" customHeight="1" x14ac:dyDescent="0.35">
      <c r="B100" s="329" t="s">
        <v>210</v>
      </c>
      <c r="C100" s="329"/>
      <c r="D100" s="329"/>
      <c r="E100" s="329"/>
      <c r="F100" s="329"/>
      <c r="G100" s="330"/>
      <c r="H100" s="328"/>
      <c r="I100" s="328"/>
      <c r="J100" s="328"/>
      <c r="K100" s="328"/>
      <c r="L100" s="138"/>
    </row>
    <row r="101" spans="2:12" s="78" customFormat="1" ht="51.75" customHeight="1" x14ac:dyDescent="0.35">
      <c r="B101" s="327" t="s">
        <v>212</v>
      </c>
      <c r="C101" s="327"/>
      <c r="D101" s="327"/>
      <c r="E101" s="327"/>
      <c r="F101" s="327"/>
      <c r="G101" s="328"/>
      <c r="H101" s="328"/>
      <c r="I101" s="328"/>
      <c r="J101" s="328"/>
      <c r="K101" s="328"/>
      <c r="L101" s="138"/>
    </row>
    <row r="102" spans="2:12" s="78" customFormat="1" ht="39" customHeight="1" x14ac:dyDescent="0.35">
      <c r="B102" s="327" t="s">
        <v>213</v>
      </c>
      <c r="C102" s="327"/>
      <c r="D102" s="327"/>
      <c r="E102" s="327"/>
      <c r="F102" s="327"/>
      <c r="G102" s="328"/>
      <c r="H102" s="328"/>
      <c r="I102" s="328"/>
      <c r="J102" s="328"/>
      <c r="K102" s="328"/>
      <c r="L102" s="138"/>
    </row>
    <row r="103" spans="2:12" s="78" customFormat="1" ht="51.75" customHeight="1" x14ac:dyDescent="0.35">
      <c r="B103" s="327" t="s">
        <v>214</v>
      </c>
      <c r="C103" s="327"/>
      <c r="D103" s="327"/>
      <c r="E103" s="327"/>
      <c r="F103" s="327"/>
      <c r="G103" s="327"/>
      <c r="H103" s="328"/>
      <c r="I103" s="328"/>
      <c r="J103" s="328"/>
      <c r="K103" s="328"/>
      <c r="L103" s="138"/>
    </row>
    <row r="104" spans="2:12" s="78" customFormat="1" ht="46" customHeight="1" x14ac:dyDescent="0.35">
      <c r="B104" s="329" t="s">
        <v>215</v>
      </c>
      <c r="C104" s="329"/>
      <c r="D104" s="329"/>
      <c r="E104" s="329"/>
      <c r="F104" s="329"/>
      <c r="G104" s="330"/>
      <c r="H104" s="328"/>
      <c r="I104" s="328"/>
      <c r="J104" s="328"/>
      <c r="K104" s="328"/>
      <c r="L104" s="138"/>
    </row>
    <row r="105" spans="2:12" s="17" customFormat="1" ht="5.5" customHeight="1" x14ac:dyDescent="0.35">
      <c r="B105" s="36"/>
      <c r="C105" s="36"/>
      <c r="D105" s="36"/>
      <c r="E105" s="36"/>
      <c r="F105" s="36"/>
      <c r="G105" s="37"/>
      <c r="H105" s="44"/>
      <c r="I105" s="44"/>
      <c r="J105" s="44"/>
      <c r="K105" s="44"/>
      <c r="L105" s="44"/>
    </row>
    <row r="106" spans="2:12" s="76" customFormat="1" ht="20.5" customHeight="1" x14ac:dyDescent="0.3">
      <c r="B106" s="114"/>
      <c r="C106" s="76" t="s">
        <v>131</v>
      </c>
      <c r="D106" s="87"/>
      <c r="E106" s="87"/>
      <c r="F106" s="87"/>
      <c r="G106" s="87"/>
      <c r="H106" s="87"/>
      <c r="I106" s="87"/>
      <c r="J106" s="87"/>
      <c r="K106" s="87"/>
      <c r="L106" s="87"/>
    </row>
    <row r="107" spans="2:12" s="76" customFormat="1" ht="12.75" customHeight="1" x14ac:dyDescent="0.3">
      <c r="B107" s="87"/>
      <c r="C107" s="87"/>
      <c r="D107" s="87"/>
      <c r="E107" s="87"/>
      <c r="F107" s="87"/>
      <c r="G107" s="87"/>
      <c r="H107" s="87"/>
      <c r="I107" s="87"/>
      <c r="J107" s="87"/>
      <c r="K107" s="87"/>
      <c r="L107" s="87"/>
    </row>
    <row r="108" spans="2:12" s="76" customFormat="1" ht="13" x14ac:dyDescent="0.3">
      <c r="B108" s="87"/>
      <c r="C108" s="379"/>
      <c r="D108" s="379"/>
      <c r="E108" s="379"/>
      <c r="F108" s="87"/>
      <c r="G108" s="87"/>
      <c r="H108" s="379"/>
      <c r="I108" s="379"/>
      <c r="J108" s="379"/>
      <c r="K108" s="379"/>
      <c r="L108" s="87"/>
    </row>
    <row r="109" spans="2:12" s="90" customFormat="1" ht="13" x14ac:dyDescent="0.3">
      <c r="B109" s="91"/>
      <c r="C109" s="324" t="str">
        <f>IF(ISBLANK(E4),"",E4)</f>
        <v/>
      </c>
      <c r="D109" s="324"/>
      <c r="E109" s="324"/>
      <c r="F109" s="91"/>
      <c r="G109" s="91"/>
      <c r="H109" s="324" t="str">
        <f>IF(ISBLANK(E9),"",E9)</f>
        <v/>
      </c>
      <c r="I109" s="324"/>
      <c r="J109" s="324"/>
      <c r="K109" s="324"/>
      <c r="L109" s="91"/>
    </row>
    <row r="110" spans="2:12" s="76" customFormat="1" ht="13" x14ac:dyDescent="0.3">
      <c r="B110" s="87"/>
      <c r="C110" s="325" t="s">
        <v>129</v>
      </c>
      <c r="D110" s="325"/>
      <c r="E110" s="325"/>
      <c r="F110" s="87"/>
      <c r="G110" s="87"/>
      <c r="H110" s="325" t="s">
        <v>128</v>
      </c>
      <c r="I110" s="325"/>
      <c r="J110" s="325"/>
      <c r="K110" s="325"/>
      <c r="L110" s="87"/>
    </row>
    <row r="111" spans="2:12" s="78" customFormat="1" ht="27.75" customHeight="1" x14ac:dyDescent="0.35">
      <c r="B111" s="340" t="s">
        <v>19</v>
      </c>
      <c r="C111" s="340"/>
      <c r="D111" s="340"/>
      <c r="E111" s="340"/>
      <c r="F111" s="340"/>
      <c r="G111" s="340"/>
      <c r="H111" s="340"/>
      <c r="I111" s="340"/>
      <c r="J111" s="340"/>
      <c r="K111" s="340"/>
      <c r="L111" s="340"/>
    </row>
    <row r="112" spans="2:12" s="76" customFormat="1" ht="13" x14ac:dyDescent="0.3">
      <c r="B112" s="87"/>
      <c r="C112" s="92"/>
      <c r="D112" s="92"/>
      <c r="E112" s="92"/>
      <c r="F112" s="87"/>
      <c r="G112" s="87"/>
      <c r="H112" s="92"/>
      <c r="I112" s="92"/>
      <c r="J112" s="92"/>
      <c r="K112" s="92"/>
      <c r="L112" s="87"/>
    </row>
    <row r="113" spans="2:12" s="76" customFormat="1" ht="13" x14ac:dyDescent="0.3">
      <c r="B113" s="87"/>
      <c r="C113" s="379"/>
      <c r="D113" s="379"/>
      <c r="E113" s="379"/>
      <c r="F113" s="87"/>
      <c r="G113" s="87"/>
      <c r="H113" s="379"/>
      <c r="I113" s="379"/>
      <c r="J113" s="379"/>
      <c r="K113" s="379"/>
      <c r="L113" s="87"/>
    </row>
    <row r="114" spans="2:12" s="76" customFormat="1" ht="13" x14ac:dyDescent="0.3">
      <c r="B114" s="87"/>
      <c r="C114" s="323" t="s">
        <v>16</v>
      </c>
      <c r="D114" s="323"/>
      <c r="E114" s="323"/>
      <c r="F114" s="87"/>
      <c r="G114" s="87"/>
      <c r="H114" s="323" t="s">
        <v>16</v>
      </c>
      <c r="I114" s="323"/>
      <c r="J114" s="323"/>
      <c r="K114" s="323"/>
      <c r="L114" s="87"/>
    </row>
    <row r="115" spans="2:12" s="76" customFormat="1" ht="13" x14ac:dyDescent="0.3">
      <c r="B115" s="87"/>
      <c r="C115" s="380"/>
      <c r="D115" s="380"/>
      <c r="E115" s="380"/>
      <c r="F115" s="87"/>
      <c r="G115" s="87"/>
      <c r="H115" s="380"/>
      <c r="I115" s="380"/>
      <c r="J115" s="380"/>
      <c r="K115" s="380"/>
      <c r="L115" s="87"/>
    </row>
    <row r="116" spans="2:12" s="76" customFormat="1" ht="13" x14ac:dyDescent="0.3">
      <c r="B116" s="87"/>
      <c r="C116" s="323" t="s">
        <v>17</v>
      </c>
      <c r="D116" s="323"/>
      <c r="E116" s="323"/>
      <c r="F116" s="87"/>
      <c r="G116" s="87"/>
      <c r="H116" s="323" t="s">
        <v>17</v>
      </c>
      <c r="I116" s="323"/>
      <c r="J116" s="323"/>
      <c r="K116" s="323"/>
      <c r="L116" s="87"/>
    </row>
    <row r="117" spans="2:12" s="76" customFormat="1" ht="13" x14ac:dyDescent="0.3">
      <c r="B117" s="87"/>
      <c r="C117" s="380"/>
      <c r="D117" s="380"/>
      <c r="E117" s="380"/>
      <c r="F117" s="87"/>
      <c r="G117" s="87"/>
      <c r="H117" s="380"/>
      <c r="I117" s="380"/>
      <c r="J117" s="380"/>
      <c r="K117" s="380"/>
      <c r="L117" s="87"/>
    </row>
    <row r="118" spans="2:12" s="76" customFormat="1" ht="13" hidden="1" x14ac:dyDescent="0.3">
      <c r="B118" s="87"/>
      <c r="C118" s="323" t="s">
        <v>18</v>
      </c>
      <c r="D118" s="323"/>
      <c r="E118" s="323"/>
      <c r="F118" s="87"/>
      <c r="G118" s="87"/>
      <c r="H118" s="323" t="s">
        <v>18</v>
      </c>
      <c r="I118" s="323"/>
      <c r="J118" s="323"/>
      <c r="K118" s="323"/>
      <c r="L118" s="87"/>
    </row>
    <row r="126" spans="2:12" x14ac:dyDescent="0.35"/>
    <row r="127" spans="2:12" x14ac:dyDescent="0.35"/>
    <row r="128" spans="2:12" x14ac:dyDescent="0.35"/>
    <row r="131" x14ac:dyDescent="0.35"/>
  </sheetData>
  <sheetProtection algorithmName="SHA-512" hashValue="rWroHdzLgogBHIlws0Ic4n4/kPCVOAo5JRNgB+u0mvihylkEybDjXxDzSq4FXJE91tR43y1NqHOU4sswG49AyA==" saltValue="T684lcY+04r8SjdnI+sLbg==" spinCount="100000" sheet="1" selectLockedCells="1"/>
  <protectedRanges>
    <protectedRange sqref="K82:K85 K47:K50 K69:L81 K51:L68 G47:J85" name="Tartomány2_1"/>
    <protectedRange sqref="K82:K85 K47:K50 K69:L81 K51:L68 G47:J85" name="Tartomány1_1"/>
    <protectedRange sqref="L47:L50 L82:L85" name="Tartomány2_5"/>
    <protectedRange sqref="D89 D86" name="Tartomány1_5"/>
    <protectedRange sqref="G88:I88 K88" name="Tartomány2_1_1"/>
    <protectedRange sqref="G88:I88 K88" name="Tartomány1_1_1"/>
    <protectedRange sqref="D87" name="Tartomány1_5_1"/>
    <protectedRange sqref="E49:E50" name="Tartomány2_2_1_1"/>
    <protectedRange sqref="E49:E50" name="Tartomány1_2_1_1"/>
  </protectedRanges>
  <dataConsolidate/>
  <mergeCells count="121">
    <mergeCell ref="B1:J1"/>
    <mergeCell ref="B2:J2"/>
    <mergeCell ref="B4:D4"/>
    <mergeCell ref="E4:J4"/>
    <mergeCell ref="B5:D5"/>
    <mergeCell ref="E5:J5"/>
    <mergeCell ref="B31:C31"/>
    <mergeCell ref="B32:C32"/>
    <mergeCell ref="D30:E30"/>
    <mergeCell ref="B10:D10"/>
    <mergeCell ref="E10:J10"/>
    <mergeCell ref="B11:D11"/>
    <mergeCell ref="E11:J11"/>
    <mergeCell ref="B12:D12"/>
    <mergeCell ref="E12:J12"/>
    <mergeCell ref="B6:D6"/>
    <mergeCell ref="E6:J6"/>
    <mergeCell ref="B7:D7"/>
    <mergeCell ref="E7:J7"/>
    <mergeCell ref="B9:D9"/>
    <mergeCell ref="E9:J9"/>
    <mergeCell ref="B19:D19"/>
    <mergeCell ref="E19:J19"/>
    <mergeCell ref="B21:L21"/>
    <mergeCell ref="B23:L23"/>
    <mergeCell ref="B27:L27"/>
    <mergeCell ref="B29:L29"/>
    <mergeCell ref="B13:D13"/>
    <mergeCell ref="E13:J13"/>
    <mergeCell ref="B14:L14"/>
    <mergeCell ref="B15:L15"/>
    <mergeCell ref="B17:L17"/>
    <mergeCell ref="B18:D18"/>
    <mergeCell ref="E18:J18"/>
    <mergeCell ref="B36:L36"/>
    <mergeCell ref="B38:L38"/>
    <mergeCell ref="B40:L40"/>
    <mergeCell ref="B41:L41"/>
    <mergeCell ref="C108:E108"/>
    <mergeCell ref="H108:K108"/>
    <mergeCell ref="D31:E31"/>
    <mergeCell ref="D32:E32"/>
    <mergeCell ref="D33:E33"/>
    <mergeCell ref="B33:C33"/>
    <mergeCell ref="K45:L46"/>
    <mergeCell ref="C47:F47"/>
    <mergeCell ref="C48:F48"/>
    <mergeCell ref="L47:L50"/>
    <mergeCell ref="L51:L73"/>
    <mergeCell ref="K87:L87"/>
    <mergeCell ref="I88:J88"/>
    <mergeCell ref="K88:L88"/>
    <mergeCell ref="B82:B83"/>
    <mergeCell ref="C82:D82"/>
    <mergeCell ref="L82:L83"/>
    <mergeCell ref="C83:D83"/>
    <mergeCell ref="B84:B85"/>
    <mergeCell ref="L84:L85"/>
    <mergeCell ref="C114:E114"/>
    <mergeCell ref="H114:K114"/>
    <mergeCell ref="C115:E115"/>
    <mergeCell ref="H115:K115"/>
    <mergeCell ref="C116:E116"/>
    <mergeCell ref="H116:K116"/>
    <mergeCell ref="C109:E109"/>
    <mergeCell ref="H109:K109"/>
    <mergeCell ref="C110:E110"/>
    <mergeCell ref="H110:K110"/>
    <mergeCell ref="B111:L111"/>
    <mergeCell ref="C113:E113"/>
    <mergeCell ref="H113:K113"/>
    <mergeCell ref="C117:E117"/>
    <mergeCell ref="H117:K117"/>
    <mergeCell ref="C118:E118"/>
    <mergeCell ref="H118:K118"/>
    <mergeCell ref="B44:C44"/>
    <mergeCell ref="B45:D46"/>
    <mergeCell ref="E45:E46"/>
    <mergeCell ref="F45:F46"/>
    <mergeCell ref="G45:H45"/>
    <mergeCell ref="I45:J45"/>
    <mergeCell ref="B47:B50"/>
    <mergeCell ref="C49:C50"/>
    <mergeCell ref="C69:C71"/>
    <mergeCell ref="C72:C73"/>
    <mergeCell ref="C74:C75"/>
    <mergeCell ref="C76:C77"/>
    <mergeCell ref="B51:B73"/>
    <mergeCell ref="C51:C53"/>
    <mergeCell ref="C54:C56"/>
    <mergeCell ref="C57:C59"/>
    <mergeCell ref="C60:C62"/>
    <mergeCell ref="C63:C64"/>
    <mergeCell ref="C65:C66"/>
    <mergeCell ref="C67:C68"/>
    <mergeCell ref="C84:F84"/>
    <mergeCell ref="C85:F85"/>
    <mergeCell ref="C78:D78"/>
    <mergeCell ref="C79:C81"/>
    <mergeCell ref="B74:B81"/>
    <mergeCell ref="L74:L81"/>
    <mergeCell ref="B101:K101"/>
    <mergeCell ref="B102:K102"/>
    <mergeCell ref="B86:J86"/>
    <mergeCell ref="K86:L86"/>
    <mergeCell ref="B87:B88"/>
    <mergeCell ref="C87:H88"/>
    <mergeCell ref="I87:J87"/>
    <mergeCell ref="B103:K103"/>
    <mergeCell ref="B104:K104"/>
    <mergeCell ref="B96:L96"/>
    <mergeCell ref="B97:K97"/>
    <mergeCell ref="B98:K98"/>
    <mergeCell ref="B99:K99"/>
    <mergeCell ref="B100:K100"/>
    <mergeCell ref="B89:J89"/>
    <mergeCell ref="K89:L89"/>
    <mergeCell ref="B91:L91"/>
    <mergeCell ref="B92:L92"/>
    <mergeCell ref="B93:L93"/>
    <mergeCell ref="B95:L95"/>
  </mergeCells>
  <conditionalFormatting sqref="B92">
    <cfRule type="containsBlanks" dxfId="36" priority="92">
      <formula>LEN(TRIM(B92))=0</formula>
    </cfRule>
  </conditionalFormatting>
  <conditionalFormatting sqref="C115:E115 H115:K115 C117:E117 H117:K117">
    <cfRule type="containsBlanks" dxfId="35" priority="85">
      <formula>LEN(TRIM(C115))=0</formula>
    </cfRule>
  </conditionalFormatting>
  <conditionalFormatting sqref="D31:E33">
    <cfRule type="containsBlanks" dxfId="34" priority="86">
      <formula>LEN(TRIM(D31))=0</formula>
    </cfRule>
  </conditionalFormatting>
  <conditionalFormatting sqref="E49:E50">
    <cfRule type="containsBlanks" dxfId="32" priority="2">
      <formula>LEN(TRIM(E49))=0</formula>
    </cfRule>
  </conditionalFormatting>
  <conditionalFormatting sqref="E5:J7 E9:J13">
    <cfRule type="containsBlanks" dxfId="28" priority="88">
      <formula>LEN(TRIM(E5))=0</formula>
    </cfRule>
  </conditionalFormatting>
  <conditionalFormatting sqref="G47:J85 E51:E83 B106">
    <cfRule type="containsBlanks" dxfId="26" priority="84">
      <formula>LEN(TRIM(B47))=0</formula>
    </cfRule>
  </conditionalFormatting>
  <conditionalFormatting sqref="I88:L88">
    <cfRule type="containsBlanks" dxfId="25" priority="83">
      <formula>LEN(TRIM(I88))=0</formula>
    </cfRule>
  </conditionalFormatting>
  <conditionalFormatting sqref="L97:L104">
    <cfRule type="cellIs" dxfId="24" priority="4" operator="equal">
      <formula>"Nem"</formula>
    </cfRule>
    <cfRule type="containsBlanks" dxfId="23" priority="5">
      <formula>LEN(TRIM(L97))=0</formula>
    </cfRule>
  </conditionalFormatting>
  <dataValidations count="8">
    <dataValidation type="decimal" allowBlank="1" showInputMessage="1" showErrorMessage="1" sqref="L47 L84 L82 I74:I75 G47:G85" xr:uid="{00000000-0002-0000-0400-000000000000}">
      <formula1>0</formula1>
      <formula2>10000000000</formula2>
    </dataValidation>
    <dataValidation type="whole" allowBlank="1" showInputMessage="1" showErrorMessage="1" sqref="L51 K88 I88 K76:K85 K47:K73" xr:uid="{00000000-0002-0000-0400-000001000000}">
      <formula1>0</formula1>
      <formula2>10000000000</formula2>
    </dataValidation>
    <dataValidation type="whole" allowBlank="1" showInputMessage="1" showErrorMessage="1" sqref="L74" xr:uid="{00000000-0002-0000-0400-000002000000}">
      <formula1>0</formula1>
      <formula2>100000000</formula2>
    </dataValidation>
    <dataValidation allowBlank="1" sqref="K74:K75" xr:uid="{00000000-0002-0000-0400-000005000000}"/>
    <dataValidation operator="lessThanOrEqual" allowBlank="1" showErrorMessage="1" prompt="Rövid, tömör leírást kérünk adni a projekt megvalósításához szükséges engedélyekről. _x000a_" sqref="B92" xr:uid="{00000000-0002-0000-0400-000008000000}"/>
    <dataValidation type="list" allowBlank="1" showInputMessage="1" showErrorMessage="1" sqref="B7:D7 D33:E33 L97:L99 L102:L104" xr:uid="{00000000-0002-0000-0400-000009000000}">
      <formula1>"Igen,Nem"</formula1>
    </dataValidation>
    <dataValidation type="list" allowBlank="1" showInputMessage="1" showErrorMessage="1" sqref="L100:L102" xr:uid="{00000000-0002-0000-0400-00000A000000}">
      <formula1>"Igen,Nem, Nem releváns"</formula1>
    </dataValidation>
    <dataValidation type="decimal" allowBlank="1" showInputMessage="1" showErrorMessage="1" sqref="E49:E83" xr:uid="{00000000-0002-0000-0400-000007000000}">
      <formula1>0</formula1>
      <formula2>1000000000</formula2>
    </dataValidation>
  </dataValidations>
  <printOptions horizontalCentered="1"/>
  <pageMargins left="0.31496062992125984" right="0.31496062992125984" top="0.47244094488188981" bottom="0.35433070866141736" header="0.31496062992125984" footer="0.31496062992125984"/>
  <pageSetup paperSize="9" scale="63" fitToHeight="0" orientation="portrait" r:id="rId1"/>
  <headerFooter>
    <oddHeader>&amp;LMFB Zrt.&amp;C&amp;9KEHOP Plusz-4.1.7-24 OTTHONFELÚJÍTÁSI HITELPROGRAM - Vállalkozói szerződés&amp;R&amp;P.oldal</oddHeader>
  </headerFooter>
  <rowBreaks count="2" manualBreakCount="2">
    <brk id="43" max="16383" man="1"/>
    <brk id="89" max="16383" man="1"/>
  </rowBreaks>
  <extLst>
    <ext xmlns:x14="http://schemas.microsoft.com/office/spreadsheetml/2009/9/main" uri="{78C0D931-6437-407d-A8EE-F0AAD7539E65}">
      <x14:conditionalFormattings>
        <x14:conditionalFormatting xmlns:xm="http://schemas.microsoft.com/office/excel/2006/main">
          <x14:cfRule type="expression" priority="1" id="{1B9D2C72-E09B-4D23-BBA4-F29212269EF2}">
            <xm:f>'01_Költségvetés'!$N$5&lt;&gt;"Igen"</xm:f>
            <x14:dxf>
              <fill>
                <patternFill patternType="gray0625">
                  <bgColor theme="0"/>
                </patternFill>
              </fill>
            </x14:dxf>
          </x14:cfRule>
          <xm:sqref>E49:E50</xm:sqref>
        </x14:conditionalFormatting>
        <x14:conditionalFormatting xmlns:xm="http://schemas.microsoft.com/office/excel/2006/main">
          <x14:cfRule type="expression" priority="78" id="{50A8E7EF-9875-40AF-B3F0-C5E67E2B934E}">
            <xm:f>'01_Költségvetés'!$N$6&lt;&gt;"Igen"</xm:f>
            <x14:dxf>
              <fill>
                <patternFill patternType="gray0625">
                  <bgColor theme="0"/>
                </patternFill>
              </fill>
            </x14:dxf>
          </x14:cfRule>
          <xm:sqref>E51:E73 G51:J73</xm:sqref>
        </x14:conditionalFormatting>
        <x14:conditionalFormatting xmlns:xm="http://schemas.microsoft.com/office/excel/2006/main">
          <x14:cfRule type="expression" priority="77" id="{DA94C8CC-A6EB-40BB-B952-E8ECA0C84589}">
            <xm:f>'01_Költségvetés'!$N$7&lt;&gt;"Igen"</xm:f>
            <x14:dxf>
              <fill>
                <patternFill patternType="gray0625">
                  <fgColor auto="1"/>
                  <bgColor theme="0"/>
                </patternFill>
              </fill>
            </x14:dxf>
          </x14:cfRule>
          <xm:sqref>E74:E81 G74:J81</xm:sqref>
        </x14:conditionalFormatting>
        <x14:conditionalFormatting xmlns:xm="http://schemas.microsoft.com/office/excel/2006/main">
          <x14:cfRule type="expression" priority="76" id="{B51B3EDD-9F96-4895-B966-5C96FA873D45}">
            <xm:f>'01_Költségvetés'!$N$8&lt;&gt;"Igen"</xm:f>
            <x14:dxf>
              <fill>
                <patternFill patternType="gray0625">
                  <bgColor theme="0"/>
                </patternFill>
              </fill>
            </x14:dxf>
          </x14:cfRule>
          <xm:sqref>E82:E83 G82:J85</xm:sqref>
        </x14:conditionalFormatting>
        <x14:conditionalFormatting xmlns:xm="http://schemas.microsoft.com/office/excel/2006/main">
          <x14:cfRule type="expression" priority="79" id="{3330194B-78BF-44AC-8621-4634AE810221}">
            <xm:f>'01_Költségvetés'!$N$5&lt;&gt;"Igen"</xm:f>
            <x14:dxf>
              <fill>
                <patternFill patternType="gray0625">
                  <bgColor theme="0"/>
                </patternFill>
              </fill>
            </x14:dxf>
          </x14:cfRule>
          <xm:sqref>G47:J50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M131"/>
  <sheetViews>
    <sheetView showGridLines="0" zoomScale="106" zoomScaleNormal="106" zoomScaleSheetLayoutView="96" workbookViewId="0">
      <selection activeCell="G47" sqref="G47"/>
    </sheetView>
  </sheetViews>
  <sheetFormatPr defaultColWidth="0" defaultRowHeight="14.5" zeroHeight="1" x14ac:dyDescent="0.35"/>
  <cols>
    <col min="1" max="1" width="1.453125" style="2" customWidth="1"/>
    <col min="2" max="2" width="27" style="2" customWidth="1"/>
    <col min="3" max="3" width="30.1796875" style="2" customWidth="1"/>
    <col min="4" max="4" width="12.26953125" style="2" customWidth="1"/>
    <col min="5" max="5" width="8" style="2" customWidth="1"/>
    <col min="6" max="6" width="7.1796875" style="2" bestFit="1" customWidth="1"/>
    <col min="7" max="10" width="11.26953125" style="2" customWidth="1"/>
    <col min="11" max="11" width="12.54296875" style="2" customWidth="1"/>
    <col min="12" max="12" width="9.54296875" style="2" customWidth="1"/>
    <col min="13" max="13" width="1.54296875" style="2" customWidth="1"/>
    <col min="14" max="16384" width="7.54296875" style="2" hidden="1"/>
  </cols>
  <sheetData>
    <row r="1" spans="2:12" ht="26.15" customHeight="1" x14ac:dyDescent="0.5">
      <c r="B1" s="362" t="s">
        <v>202</v>
      </c>
      <c r="C1" s="362"/>
      <c r="D1" s="362"/>
      <c r="E1" s="362"/>
      <c r="F1" s="362"/>
      <c r="G1" s="362"/>
      <c r="H1" s="362"/>
      <c r="I1" s="362"/>
      <c r="J1" s="362"/>
      <c r="K1" s="39" t="s">
        <v>14</v>
      </c>
      <c r="L1" s="40" t="str">
        <f>+'01_Költségvetés'!N3</f>
        <v>2025.10.15-től</v>
      </c>
    </row>
    <row r="2" spans="2:12" s="74" customFormat="1" ht="14.5" customHeight="1" x14ac:dyDescent="0.35">
      <c r="B2" s="363" t="s">
        <v>229</v>
      </c>
      <c r="C2" s="363"/>
      <c r="D2" s="363"/>
      <c r="E2" s="363"/>
      <c r="F2" s="363"/>
      <c r="G2" s="363"/>
      <c r="H2" s="363"/>
      <c r="I2" s="363"/>
      <c r="J2" s="363"/>
      <c r="K2" s="75"/>
      <c r="L2" s="75"/>
    </row>
    <row r="3" spans="2:12" s="76" customFormat="1" ht="15" customHeight="1" x14ac:dyDescent="0.3">
      <c r="B3" s="76" t="s">
        <v>44</v>
      </c>
      <c r="K3" s="77"/>
      <c r="L3" s="77"/>
    </row>
    <row r="4" spans="2:12" s="76" customFormat="1" ht="14.5" customHeight="1" x14ac:dyDescent="0.3">
      <c r="B4" s="335" t="s">
        <v>45</v>
      </c>
      <c r="C4" s="335"/>
      <c r="D4" s="335"/>
      <c r="E4" s="364" t="str" cm="1">
        <f t="array" ref="E4">IF(ISBLANK('01_Költségvetés'!D5:D5),"",'01_Költségvetés'!D5:D5)</f>
        <v/>
      </c>
      <c r="F4" s="364"/>
      <c r="G4" s="364"/>
      <c r="H4" s="364"/>
      <c r="I4" s="364"/>
      <c r="J4" s="364"/>
      <c r="K4" s="77"/>
      <c r="L4" s="77"/>
    </row>
    <row r="5" spans="2:12" s="76" customFormat="1" ht="14.5" customHeight="1" x14ac:dyDescent="0.3">
      <c r="B5" s="335" t="s">
        <v>46</v>
      </c>
      <c r="C5" s="335"/>
      <c r="D5" s="335"/>
      <c r="E5" s="336"/>
      <c r="F5" s="336"/>
      <c r="G5" s="336"/>
      <c r="H5" s="336"/>
      <c r="I5" s="336"/>
      <c r="J5" s="336"/>
      <c r="K5" s="77"/>
      <c r="L5" s="77"/>
    </row>
    <row r="6" spans="2:12" s="76" customFormat="1" ht="14.5" customHeight="1" x14ac:dyDescent="0.3">
      <c r="B6" s="335" t="s">
        <v>47</v>
      </c>
      <c r="C6" s="335"/>
      <c r="D6" s="335"/>
      <c r="E6" s="336"/>
      <c r="F6" s="336"/>
      <c r="G6" s="336"/>
      <c r="H6" s="336"/>
      <c r="I6" s="336"/>
      <c r="J6" s="336"/>
      <c r="K6" s="77"/>
      <c r="L6" s="77"/>
    </row>
    <row r="7" spans="2:12" s="76" customFormat="1" ht="14.5" customHeight="1" x14ac:dyDescent="0.3">
      <c r="B7" s="335" t="s">
        <v>48</v>
      </c>
      <c r="C7" s="335"/>
      <c r="D7" s="335"/>
      <c r="E7" s="336"/>
      <c r="F7" s="336"/>
      <c r="G7" s="336"/>
      <c r="H7" s="336"/>
      <c r="I7" s="336"/>
      <c r="J7" s="336"/>
      <c r="K7" s="77"/>
      <c r="L7" s="77"/>
    </row>
    <row r="8" spans="2:12" s="76" customFormat="1" ht="14.5" customHeight="1" x14ac:dyDescent="0.3">
      <c r="B8" s="78" t="s">
        <v>172</v>
      </c>
      <c r="K8" s="77"/>
      <c r="L8" s="77"/>
    </row>
    <row r="9" spans="2:12" s="76" customFormat="1" ht="14.5" customHeight="1" x14ac:dyDescent="0.3">
      <c r="B9" s="335" t="s">
        <v>49</v>
      </c>
      <c r="C9" s="335"/>
      <c r="D9" s="335"/>
      <c r="E9" s="336"/>
      <c r="F9" s="336"/>
      <c r="G9" s="336"/>
      <c r="H9" s="336"/>
      <c r="I9" s="336"/>
      <c r="J9" s="336"/>
      <c r="K9" s="77"/>
      <c r="L9" s="77"/>
    </row>
    <row r="10" spans="2:12" s="76" customFormat="1" ht="14.5" customHeight="1" x14ac:dyDescent="0.3">
      <c r="B10" s="335" t="s">
        <v>50</v>
      </c>
      <c r="C10" s="335"/>
      <c r="D10" s="335"/>
      <c r="E10" s="336"/>
      <c r="F10" s="336"/>
      <c r="G10" s="336"/>
      <c r="H10" s="336"/>
      <c r="I10" s="336"/>
      <c r="J10" s="336"/>
      <c r="K10" s="77"/>
      <c r="L10" s="77"/>
    </row>
    <row r="11" spans="2:12" s="76" customFormat="1" ht="14.5" customHeight="1" x14ac:dyDescent="0.3">
      <c r="B11" s="335" t="s">
        <v>51</v>
      </c>
      <c r="C11" s="335"/>
      <c r="D11" s="335"/>
      <c r="E11" s="336"/>
      <c r="F11" s="336"/>
      <c r="G11" s="336"/>
      <c r="H11" s="336"/>
      <c r="I11" s="336"/>
      <c r="J11" s="336"/>
      <c r="K11" s="77"/>
      <c r="L11" s="77"/>
    </row>
    <row r="12" spans="2:12" s="76" customFormat="1" ht="14.5" customHeight="1" x14ac:dyDescent="0.3">
      <c r="B12" s="335" t="s">
        <v>52</v>
      </c>
      <c r="C12" s="335"/>
      <c r="D12" s="335"/>
      <c r="E12" s="336"/>
      <c r="F12" s="336"/>
      <c r="G12" s="336"/>
      <c r="H12" s="336"/>
      <c r="I12" s="336"/>
      <c r="J12" s="336"/>
      <c r="K12" s="77"/>
      <c r="L12" s="77"/>
    </row>
    <row r="13" spans="2:12" s="76" customFormat="1" ht="14.5" customHeight="1" x14ac:dyDescent="0.3">
      <c r="B13" s="335" t="s">
        <v>53</v>
      </c>
      <c r="C13" s="335"/>
      <c r="D13" s="335"/>
      <c r="E13" s="336"/>
      <c r="F13" s="336"/>
      <c r="G13" s="336"/>
      <c r="H13" s="336"/>
      <c r="I13" s="336"/>
      <c r="J13" s="336"/>
      <c r="K13" s="77"/>
      <c r="L13" s="77"/>
    </row>
    <row r="14" spans="2:12" s="76" customFormat="1" ht="14.5" customHeight="1" x14ac:dyDescent="0.3">
      <c r="B14" s="341" t="s">
        <v>54</v>
      </c>
      <c r="C14" s="341"/>
      <c r="D14" s="341"/>
      <c r="E14" s="341"/>
      <c r="F14" s="341"/>
      <c r="G14" s="341"/>
      <c r="H14" s="341"/>
      <c r="I14" s="341"/>
      <c r="J14" s="341"/>
      <c r="K14" s="341"/>
      <c r="L14" s="341"/>
    </row>
    <row r="15" spans="2:12" s="76" customFormat="1" ht="14.5" customHeight="1" x14ac:dyDescent="0.3">
      <c r="B15" s="341" t="s">
        <v>55</v>
      </c>
      <c r="C15" s="341"/>
      <c r="D15" s="341"/>
      <c r="E15" s="341"/>
      <c r="F15" s="341"/>
      <c r="G15" s="341"/>
      <c r="H15" s="341"/>
      <c r="I15" s="341"/>
      <c r="J15" s="341"/>
      <c r="K15" s="341"/>
      <c r="L15" s="341"/>
    </row>
    <row r="16" spans="2:12" s="74" customFormat="1" ht="23.5" customHeight="1" x14ac:dyDescent="0.35">
      <c r="B16" s="79" t="s">
        <v>56</v>
      </c>
      <c r="K16" s="75"/>
      <c r="L16" s="75"/>
    </row>
    <row r="17" spans="2:12" s="76" customFormat="1" ht="41.5" customHeight="1" x14ac:dyDescent="0.35">
      <c r="B17" s="342" t="s">
        <v>230</v>
      </c>
      <c r="C17" s="342"/>
      <c r="D17" s="342"/>
      <c r="E17" s="342"/>
      <c r="F17" s="342"/>
      <c r="G17" s="342"/>
      <c r="H17" s="342"/>
      <c r="I17" s="342"/>
      <c r="J17" s="342"/>
      <c r="K17" s="343"/>
      <c r="L17" s="343"/>
    </row>
    <row r="18" spans="2:12" s="76" customFormat="1" ht="22.5" customHeight="1" x14ac:dyDescent="0.3">
      <c r="B18" s="365" t="s">
        <v>57</v>
      </c>
      <c r="C18" s="365"/>
      <c r="D18" s="365"/>
      <c r="E18" s="364" t="str" cm="1">
        <f t="array" ref="E18">IF(ISBLANK('01_Költségvetés'!D6:D6),"",'01_Költségvetés'!D6:D6)</f>
        <v/>
      </c>
      <c r="F18" s="364"/>
      <c r="G18" s="364"/>
      <c r="H18" s="364"/>
      <c r="I18" s="364"/>
      <c r="J18" s="364"/>
      <c r="K18" s="77"/>
      <c r="L18" s="77"/>
    </row>
    <row r="19" spans="2:12" s="76" customFormat="1" ht="6.75" customHeight="1" x14ac:dyDescent="0.3">
      <c r="B19" s="366"/>
      <c r="C19" s="366"/>
      <c r="D19" s="366"/>
      <c r="E19" s="367"/>
      <c r="F19" s="367"/>
      <c r="G19" s="367"/>
      <c r="H19" s="367"/>
      <c r="I19" s="367"/>
      <c r="J19" s="367"/>
      <c r="K19" s="77"/>
      <c r="L19" s="77"/>
    </row>
    <row r="20" spans="2:12" s="74" customFormat="1" ht="17.25" customHeight="1" x14ac:dyDescent="0.35">
      <c r="B20" s="79" t="s">
        <v>58</v>
      </c>
      <c r="K20" s="75"/>
      <c r="L20" s="75"/>
    </row>
    <row r="21" spans="2:12" s="76" customFormat="1" ht="129" customHeight="1" x14ac:dyDescent="0.3">
      <c r="B21" s="373" t="s">
        <v>206</v>
      </c>
      <c r="C21" s="373"/>
      <c r="D21" s="373"/>
      <c r="E21" s="373"/>
      <c r="F21" s="373"/>
      <c r="G21" s="373"/>
      <c r="H21" s="373"/>
      <c r="I21" s="373"/>
      <c r="J21" s="373"/>
      <c r="K21" s="373"/>
      <c r="L21" s="373"/>
    </row>
    <row r="22" spans="2:12" s="76" customFormat="1" ht="28.5" customHeight="1" x14ac:dyDescent="0.35">
      <c r="B22" s="79" t="s">
        <v>60</v>
      </c>
      <c r="C22" s="74"/>
      <c r="D22" s="74"/>
      <c r="E22" s="74"/>
      <c r="F22" s="74"/>
      <c r="G22" s="74"/>
      <c r="H22" s="74"/>
      <c r="I22" s="74"/>
      <c r="J22" s="74"/>
      <c r="K22" s="80"/>
      <c r="L22" s="80"/>
    </row>
    <row r="23" spans="2:12" s="76" customFormat="1" ht="30" customHeight="1" x14ac:dyDescent="0.3">
      <c r="B23" s="374" t="s">
        <v>173</v>
      </c>
      <c r="C23" s="374"/>
      <c r="D23" s="374"/>
      <c r="E23" s="374"/>
      <c r="F23" s="374"/>
      <c r="G23" s="374"/>
      <c r="H23" s="374"/>
      <c r="I23" s="374"/>
      <c r="J23" s="374"/>
      <c r="K23" s="374"/>
      <c r="L23" s="374"/>
    </row>
    <row r="24" spans="2:12" s="76" customFormat="1" ht="19.5" customHeight="1" x14ac:dyDescent="0.3">
      <c r="B24" s="82" t="s">
        <v>61</v>
      </c>
      <c r="C24" s="83">
        <f>SUM(G47:G85)+SUM(I47:I85)+I88</f>
        <v>0</v>
      </c>
      <c r="K24" s="80"/>
      <c r="L24" s="80"/>
    </row>
    <row r="25" spans="2:12" s="76" customFormat="1" ht="19.5" customHeight="1" x14ac:dyDescent="0.3">
      <c r="B25" s="82" t="s">
        <v>62</v>
      </c>
      <c r="C25" s="83">
        <f>+C26-C24</f>
        <v>0</v>
      </c>
      <c r="K25" s="80"/>
      <c r="L25" s="80"/>
    </row>
    <row r="26" spans="2:12" s="76" customFormat="1" ht="19.5" customHeight="1" x14ac:dyDescent="0.3">
      <c r="B26" s="84" t="s">
        <v>63</v>
      </c>
      <c r="C26" s="85">
        <f>+K89</f>
        <v>0</v>
      </c>
      <c r="K26" s="80"/>
      <c r="L26" s="80"/>
    </row>
    <row r="27" spans="2:12" s="76" customFormat="1" ht="6.75" customHeight="1" x14ac:dyDescent="0.3">
      <c r="B27" s="375"/>
      <c r="C27" s="375"/>
      <c r="D27" s="375"/>
      <c r="E27" s="375"/>
      <c r="F27" s="375"/>
      <c r="G27" s="375"/>
      <c r="H27" s="375"/>
      <c r="I27" s="375"/>
      <c r="J27" s="375"/>
      <c r="K27" s="375"/>
      <c r="L27" s="375"/>
    </row>
    <row r="28" spans="2:12" s="76" customFormat="1" ht="17" hidden="1" x14ac:dyDescent="0.4">
      <c r="B28" s="86" t="s">
        <v>64</v>
      </c>
      <c r="C28" s="74"/>
      <c r="D28" s="74"/>
      <c r="E28" s="74"/>
      <c r="F28" s="74"/>
      <c r="G28" s="74"/>
      <c r="H28" s="74"/>
      <c r="I28" s="74"/>
      <c r="J28" s="74"/>
      <c r="K28" s="80"/>
      <c r="L28" s="80"/>
    </row>
    <row r="29" spans="2:12" s="76" customFormat="1" ht="45.65" customHeight="1" x14ac:dyDescent="0.3">
      <c r="B29" s="374" t="s">
        <v>205</v>
      </c>
      <c r="C29" s="374"/>
      <c r="D29" s="374"/>
      <c r="E29" s="374"/>
      <c r="F29" s="374"/>
      <c r="G29" s="374"/>
      <c r="H29" s="374"/>
      <c r="I29" s="374"/>
      <c r="J29" s="374"/>
      <c r="K29" s="374"/>
      <c r="L29" s="374"/>
    </row>
    <row r="30" spans="2:12" s="76" customFormat="1" ht="13" hidden="1" x14ac:dyDescent="0.3">
      <c r="B30" s="136"/>
      <c r="C30" s="137"/>
      <c r="D30" s="370"/>
      <c r="E30" s="370"/>
      <c r="F30" s="87"/>
      <c r="G30" s="87"/>
      <c r="H30" s="87"/>
      <c r="I30" s="87"/>
      <c r="J30" s="87"/>
      <c r="K30" s="87"/>
      <c r="L30" s="87"/>
    </row>
    <row r="31" spans="2:12" s="78" customFormat="1" ht="24.75" customHeight="1" x14ac:dyDescent="0.35">
      <c r="B31" s="368" t="s">
        <v>207</v>
      </c>
      <c r="C31" s="369"/>
      <c r="D31" s="371"/>
      <c r="E31" s="372"/>
      <c r="F31" s="87"/>
      <c r="G31" s="87"/>
      <c r="H31" s="87"/>
      <c r="I31" s="87"/>
      <c r="J31" s="87"/>
      <c r="K31" s="87"/>
      <c r="L31" s="87"/>
    </row>
    <row r="32" spans="2:12" s="78" customFormat="1" ht="24.75" customHeight="1" x14ac:dyDescent="0.35">
      <c r="B32" s="368" t="s">
        <v>208</v>
      </c>
      <c r="C32" s="369"/>
      <c r="D32" s="371"/>
      <c r="E32" s="372"/>
      <c r="F32" s="87"/>
      <c r="G32" s="87"/>
      <c r="H32" s="87"/>
      <c r="I32" s="87"/>
      <c r="J32" s="87"/>
      <c r="K32" s="87"/>
      <c r="L32" s="87"/>
    </row>
    <row r="33" spans="2:13" s="78" customFormat="1" ht="24.75" customHeight="1" x14ac:dyDescent="0.35">
      <c r="B33" s="368" t="s">
        <v>217</v>
      </c>
      <c r="C33" s="369"/>
      <c r="D33" s="337"/>
      <c r="E33" s="338"/>
      <c r="F33" s="87"/>
      <c r="G33" s="87"/>
      <c r="H33" s="87"/>
      <c r="I33" s="87"/>
      <c r="J33" s="87"/>
      <c r="K33" s="87"/>
      <c r="L33" s="87"/>
    </row>
    <row r="34" spans="2:13" s="78" customFormat="1" ht="10.5" customHeight="1" x14ac:dyDescent="0.35">
      <c r="B34" s="87"/>
      <c r="C34" s="87"/>
      <c r="D34" s="87"/>
      <c r="E34" s="87"/>
      <c r="F34" s="87"/>
      <c r="G34" s="87"/>
      <c r="H34" s="87"/>
      <c r="I34" s="87"/>
      <c r="J34" s="87"/>
      <c r="K34" s="87"/>
      <c r="L34" s="87"/>
    </row>
    <row r="35" spans="2:13" s="78" customFormat="1" ht="10.5" customHeight="1" x14ac:dyDescent="0.35">
      <c r="B35" s="87"/>
      <c r="C35" s="87"/>
      <c r="D35" s="87"/>
      <c r="E35" s="87"/>
      <c r="F35" s="87"/>
      <c r="G35" s="87"/>
      <c r="H35" s="87"/>
      <c r="I35" s="87"/>
      <c r="J35" s="87"/>
      <c r="K35" s="87"/>
      <c r="L35" s="87"/>
    </row>
    <row r="36" spans="2:13" s="76" customFormat="1" ht="86.5" customHeight="1" x14ac:dyDescent="0.3">
      <c r="B36" s="326" t="s">
        <v>122</v>
      </c>
      <c r="C36" s="326"/>
      <c r="D36" s="326"/>
      <c r="E36" s="326"/>
      <c r="F36" s="326"/>
      <c r="G36" s="326"/>
      <c r="H36" s="326"/>
      <c r="I36" s="326"/>
      <c r="J36" s="326"/>
      <c r="K36" s="326"/>
      <c r="L36" s="326"/>
    </row>
    <row r="37" spans="2:13" s="76" customFormat="1" ht="17" hidden="1" x14ac:dyDescent="0.3">
      <c r="B37" s="79" t="s">
        <v>65</v>
      </c>
      <c r="C37" s="88"/>
      <c r="D37" s="89"/>
      <c r="E37" s="89"/>
      <c r="F37" s="81"/>
      <c r="G37" s="81"/>
      <c r="H37" s="81"/>
      <c r="I37" s="81"/>
      <c r="J37" s="81"/>
      <c r="K37" s="81"/>
      <c r="L37" s="81"/>
    </row>
    <row r="38" spans="2:13" s="76" customFormat="1" ht="47.5" customHeight="1" x14ac:dyDescent="0.3">
      <c r="B38" s="326" t="s">
        <v>123</v>
      </c>
      <c r="C38" s="326"/>
      <c r="D38" s="326"/>
      <c r="E38" s="326"/>
      <c r="F38" s="326"/>
      <c r="G38" s="326"/>
      <c r="H38" s="326"/>
      <c r="I38" s="326"/>
      <c r="J38" s="326"/>
      <c r="K38" s="326"/>
      <c r="L38" s="326"/>
    </row>
    <row r="39" spans="2:13" s="76" customFormat="1" ht="17" hidden="1" x14ac:dyDescent="0.3">
      <c r="B39" s="79" t="s">
        <v>124</v>
      </c>
      <c r="C39" s="88"/>
      <c r="D39" s="89"/>
      <c r="E39" s="89"/>
      <c r="F39" s="81"/>
      <c r="G39" s="81"/>
      <c r="H39" s="81"/>
      <c r="I39" s="81"/>
      <c r="J39" s="81"/>
      <c r="K39" s="81"/>
      <c r="L39" s="81"/>
    </row>
    <row r="40" spans="2:13" s="76" customFormat="1" ht="199.5" customHeight="1" x14ac:dyDescent="0.3">
      <c r="B40" s="326" t="s">
        <v>130</v>
      </c>
      <c r="C40" s="326"/>
      <c r="D40" s="326"/>
      <c r="E40" s="326"/>
      <c r="F40" s="326"/>
      <c r="G40" s="326"/>
      <c r="H40" s="326"/>
      <c r="I40" s="326"/>
      <c r="J40" s="326"/>
      <c r="K40" s="326"/>
      <c r="L40" s="326"/>
    </row>
    <row r="41" spans="2:13" s="76" customFormat="1" ht="210.75" customHeight="1" x14ac:dyDescent="0.3">
      <c r="B41" s="326" t="s">
        <v>125</v>
      </c>
      <c r="C41" s="326"/>
      <c r="D41" s="326"/>
      <c r="E41" s="326"/>
      <c r="F41" s="326"/>
      <c r="G41" s="326"/>
      <c r="H41" s="326"/>
      <c r="I41" s="326"/>
      <c r="J41" s="326"/>
      <c r="K41" s="326"/>
      <c r="L41" s="326"/>
    </row>
    <row r="44" spans="2:13" s="76" customFormat="1" ht="20.149999999999999" customHeight="1" thickBot="1" x14ac:dyDescent="0.35">
      <c r="B44" s="344" t="s">
        <v>144</v>
      </c>
      <c r="C44" s="344"/>
      <c r="D44" s="89"/>
      <c r="E44" s="89"/>
      <c r="F44" s="81"/>
      <c r="G44" s="81"/>
      <c r="H44" s="81"/>
      <c r="I44" s="81"/>
      <c r="J44" s="81"/>
      <c r="K44" s="81"/>
      <c r="L44" s="81"/>
    </row>
    <row r="45" spans="2:13" s="76" customFormat="1" ht="13" x14ac:dyDescent="0.3">
      <c r="B45" s="317" t="s">
        <v>3</v>
      </c>
      <c r="C45" s="318"/>
      <c r="D45" s="318"/>
      <c r="E45" s="321" t="s">
        <v>121</v>
      </c>
      <c r="F45" s="224" t="s">
        <v>4</v>
      </c>
      <c r="G45" s="226" t="s">
        <v>59</v>
      </c>
      <c r="H45" s="226"/>
      <c r="I45" s="226" t="s">
        <v>231</v>
      </c>
      <c r="J45" s="226"/>
      <c r="K45" s="226" t="s">
        <v>232</v>
      </c>
      <c r="L45" s="226"/>
      <c r="M45" s="78"/>
    </row>
    <row r="46" spans="2:13" s="76" customFormat="1" ht="17.25" customHeight="1" thickBot="1" x14ac:dyDescent="0.35">
      <c r="B46" s="319"/>
      <c r="C46" s="320"/>
      <c r="D46" s="320"/>
      <c r="E46" s="322"/>
      <c r="F46" s="225"/>
      <c r="G46" s="58" t="s">
        <v>10</v>
      </c>
      <c r="H46" s="58" t="s">
        <v>11</v>
      </c>
      <c r="I46" s="58" t="s">
        <v>10</v>
      </c>
      <c r="J46" s="58" t="s">
        <v>11</v>
      </c>
      <c r="K46" s="228"/>
      <c r="L46" s="228"/>
      <c r="M46" s="78"/>
    </row>
    <row r="47" spans="2:13" s="78" customFormat="1" ht="17.25" customHeight="1" x14ac:dyDescent="0.35">
      <c r="B47" s="345" t="s">
        <v>174</v>
      </c>
      <c r="C47" s="222" t="s">
        <v>99</v>
      </c>
      <c r="D47" s="222"/>
      <c r="E47" s="222"/>
      <c r="F47" s="222"/>
      <c r="G47" s="175"/>
      <c r="H47" s="175"/>
      <c r="I47" s="175"/>
      <c r="J47" s="175"/>
      <c r="K47" s="51">
        <f t="shared" ref="K47:K85" si="0">IFERROR(H47+J47,)</f>
        <v>0</v>
      </c>
      <c r="L47" s="348">
        <f t="shared" ref="L47" si="1">SUM(K47:K50)</f>
        <v>0</v>
      </c>
    </row>
    <row r="48" spans="2:13" s="78" customFormat="1" ht="17.25" customHeight="1" x14ac:dyDescent="0.35">
      <c r="B48" s="346"/>
      <c r="C48" s="222" t="s">
        <v>100</v>
      </c>
      <c r="D48" s="222"/>
      <c r="E48" s="222"/>
      <c r="F48" s="222"/>
      <c r="G48" s="175"/>
      <c r="H48" s="175"/>
      <c r="I48" s="175"/>
      <c r="J48" s="175"/>
      <c r="K48" s="51">
        <f t="shared" si="0"/>
        <v>0</v>
      </c>
      <c r="L48" s="232"/>
    </row>
    <row r="49" spans="2:12" s="78" customFormat="1" ht="17.25" customHeight="1" x14ac:dyDescent="0.35">
      <c r="B49" s="346"/>
      <c r="C49" s="212" t="s">
        <v>235</v>
      </c>
      <c r="D49" s="170" t="s">
        <v>236</v>
      </c>
      <c r="E49" s="168"/>
      <c r="F49" s="62" t="s">
        <v>155</v>
      </c>
      <c r="G49" s="175"/>
      <c r="H49" s="175"/>
      <c r="I49" s="175"/>
      <c r="J49" s="175"/>
      <c r="K49" s="51">
        <f t="shared" si="0"/>
        <v>0</v>
      </c>
      <c r="L49" s="232"/>
    </row>
    <row r="50" spans="2:12" s="78" customFormat="1" ht="17.25" customHeight="1" x14ac:dyDescent="0.35">
      <c r="B50" s="347"/>
      <c r="C50" s="213"/>
      <c r="D50" s="171" t="s">
        <v>237</v>
      </c>
      <c r="E50" s="168"/>
      <c r="F50" s="62" t="s">
        <v>155</v>
      </c>
      <c r="G50" s="175"/>
      <c r="H50" s="175"/>
      <c r="I50" s="175"/>
      <c r="J50" s="175"/>
      <c r="K50" s="51">
        <f t="shared" si="0"/>
        <v>0</v>
      </c>
      <c r="L50" s="233"/>
    </row>
    <row r="51" spans="2:12" s="78" customFormat="1" ht="17.25" customHeight="1" x14ac:dyDescent="0.35">
      <c r="B51" s="339" t="s">
        <v>176</v>
      </c>
      <c r="C51" s="222" t="s">
        <v>82</v>
      </c>
      <c r="D51" s="93" t="s">
        <v>77</v>
      </c>
      <c r="E51" s="113"/>
      <c r="F51" s="62" t="s">
        <v>155</v>
      </c>
      <c r="G51" s="175"/>
      <c r="H51" s="175"/>
      <c r="I51" s="175"/>
      <c r="J51" s="175"/>
      <c r="K51" s="51">
        <f t="shared" si="0"/>
        <v>0</v>
      </c>
      <c r="L51" s="256">
        <f>SUM(K51:K73)</f>
        <v>0</v>
      </c>
    </row>
    <row r="52" spans="2:12" s="78" customFormat="1" ht="17.25" customHeight="1" x14ac:dyDescent="0.35">
      <c r="B52" s="268"/>
      <c r="C52" s="222"/>
      <c r="D52" s="94" t="s">
        <v>78</v>
      </c>
      <c r="E52" s="113"/>
      <c r="F52" s="62" t="s">
        <v>155</v>
      </c>
      <c r="G52" s="175"/>
      <c r="H52" s="175"/>
      <c r="I52" s="175"/>
      <c r="J52" s="175"/>
      <c r="K52" s="51">
        <f t="shared" si="0"/>
        <v>0</v>
      </c>
      <c r="L52" s="256"/>
    </row>
    <row r="53" spans="2:12" s="78" customFormat="1" ht="17.25" customHeight="1" x14ac:dyDescent="0.35">
      <c r="B53" s="268"/>
      <c r="C53" s="222"/>
      <c r="D53" s="94" t="s">
        <v>79</v>
      </c>
      <c r="E53" s="113"/>
      <c r="F53" s="62" t="s">
        <v>155</v>
      </c>
      <c r="G53" s="175"/>
      <c r="H53" s="175"/>
      <c r="I53" s="175"/>
      <c r="J53" s="175"/>
      <c r="K53" s="51">
        <f t="shared" si="0"/>
        <v>0</v>
      </c>
      <c r="L53" s="256"/>
    </row>
    <row r="54" spans="2:12" s="78" customFormat="1" ht="17.25" customHeight="1" x14ac:dyDescent="0.35">
      <c r="B54" s="268"/>
      <c r="C54" s="222" t="s">
        <v>83</v>
      </c>
      <c r="D54" s="93" t="s">
        <v>77</v>
      </c>
      <c r="E54" s="113"/>
      <c r="F54" s="62" t="s">
        <v>155</v>
      </c>
      <c r="G54" s="175"/>
      <c r="H54" s="175"/>
      <c r="I54" s="175"/>
      <c r="J54" s="175"/>
      <c r="K54" s="51">
        <f t="shared" si="0"/>
        <v>0</v>
      </c>
      <c r="L54" s="256"/>
    </row>
    <row r="55" spans="2:12" s="78" customFormat="1" ht="17.25" customHeight="1" x14ac:dyDescent="0.35">
      <c r="B55" s="268"/>
      <c r="C55" s="222"/>
      <c r="D55" s="94" t="s">
        <v>78</v>
      </c>
      <c r="E55" s="113"/>
      <c r="F55" s="62" t="s">
        <v>155</v>
      </c>
      <c r="G55" s="175"/>
      <c r="H55" s="175"/>
      <c r="I55" s="175"/>
      <c r="J55" s="175"/>
      <c r="K55" s="51">
        <f t="shared" si="0"/>
        <v>0</v>
      </c>
      <c r="L55" s="256"/>
    </row>
    <row r="56" spans="2:12" s="78" customFormat="1" ht="17.25" customHeight="1" x14ac:dyDescent="0.35">
      <c r="B56" s="268"/>
      <c r="C56" s="222"/>
      <c r="D56" s="94" t="s">
        <v>79</v>
      </c>
      <c r="E56" s="113"/>
      <c r="F56" s="62" t="s">
        <v>155</v>
      </c>
      <c r="G56" s="175"/>
      <c r="H56" s="175"/>
      <c r="I56" s="175"/>
      <c r="J56" s="175"/>
      <c r="K56" s="51">
        <f t="shared" si="0"/>
        <v>0</v>
      </c>
      <c r="L56" s="256"/>
    </row>
    <row r="57" spans="2:12" s="78" customFormat="1" ht="17.25" customHeight="1" x14ac:dyDescent="0.35">
      <c r="B57" s="268"/>
      <c r="C57" s="222" t="s">
        <v>84</v>
      </c>
      <c r="D57" s="93" t="s">
        <v>77</v>
      </c>
      <c r="E57" s="113"/>
      <c r="F57" s="62" t="s">
        <v>155</v>
      </c>
      <c r="G57" s="175"/>
      <c r="H57" s="175"/>
      <c r="I57" s="175"/>
      <c r="J57" s="175"/>
      <c r="K57" s="51">
        <f t="shared" si="0"/>
        <v>0</v>
      </c>
      <c r="L57" s="256"/>
    </row>
    <row r="58" spans="2:12" s="78" customFormat="1" ht="17.25" customHeight="1" x14ac:dyDescent="0.35">
      <c r="B58" s="268"/>
      <c r="C58" s="222"/>
      <c r="D58" s="94" t="s">
        <v>78</v>
      </c>
      <c r="E58" s="113"/>
      <c r="F58" s="62" t="s">
        <v>155</v>
      </c>
      <c r="G58" s="175"/>
      <c r="H58" s="175"/>
      <c r="I58" s="175"/>
      <c r="J58" s="175"/>
      <c r="K58" s="51">
        <f t="shared" si="0"/>
        <v>0</v>
      </c>
      <c r="L58" s="256"/>
    </row>
    <row r="59" spans="2:12" s="78" customFormat="1" ht="17.25" customHeight="1" x14ac:dyDescent="0.35">
      <c r="B59" s="268"/>
      <c r="C59" s="222"/>
      <c r="D59" s="94" t="s">
        <v>79</v>
      </c>
      <c r="E59" s="113"/>
      <c r="F59" s="62" t="s">
        <v>155</v>
      </c>
      <c r="G59" s="175"/>
      <c r="H59" s="175"/>
      <c r="I59" s="175"/>
      <c r="J59" s="175"/>
      <c r="K59" s="51">
        <f t="shared" si="0"/>
        <v>0</v>
      </c>
      <c r="L59" s="256"/>
    </row>
    <row r="60" spans="2:12" s="78" customFormat="1" ht="17.25" customHeight="1" x14ac:dyDescent="0.35">
      <c r="B60" s="268"/>
      <c r="C60" s="222" t="s">
        <v>88</v>
      </c>
      <c r="D60" s="93" t="s">
        <v>85</v>
      </c>
      <c r="E60" s="113"/>
      <c r="F60" s="62" t="s">
        <v>155</v>
      </c>
      <c r="G60" s="175"/>
      <c r="H60" s="175"/>
      <c r="I60" s="175"/>
      <c r="J60" s="175"/>
      <c r="K60" s="51">
        <f t="shared" si="0"/>
        <v>0</v>
      </c>
      <c r="L60" s="256"/>
    </row>
    <row r="61" spans="2:12" s="78" customFormat="1" ht="17.25" customHeight="1" x14ac:dyDescent="0.35">
      <c r="B61" s="268"/>
      <c r="C61" s="222"/>
      <c r="D61" s="94" t="s">
        <v>86</v>
      </c>
      <c r="E61" s="113"/>
      <c r="F61" s="62" t="s">
        <v>155</v>
      </c>
      <c r="G61" s="175"/>
      <c r="H61" s="175"/>
      <c r="I61" s="175"/>
      <c r="J61" s="175"/>
      <c r="K61" s="51">
        <f t="shared" si="0"/>
        <v>0</v>
      </c>
      <c r="L61" s="256"/>
    </row>
    <row r="62" spans="2:12" s="78" customFormat="1" ht="17.25" customHeight="1" x14ac:dyDescent="0.35">
      <c r="B62" s="268"/>
      <c r="C62" s="222"/>
      <c r="D62" s="94" t="s">
        <v>87</v>
      </c>
      <c r="E62" s="113"/>
      <c r="F62" s="62" t="s">
        <v>155</v>
      </c>
      <c r="G62" s="175"/>
      <c r="H62" s="175"/>
      <c r="I62" s="175"/>
      <c r="J62" s="175"/>
      <c r="K62" s="51">
        <f t="shared" si="0"/>
        <v>0</v>
      </c>
      <c r="L62" s="256"/>
    </row>
    <row r="63" spans="2:12" s="78" customFormat="1" ht="17.25" customHeight="1" x14ac:dyDescent="0.35">
      <c r="B63" s="268"/>
      <c r="C63" s="222" t="s">
        <v>91</v>
      </c>
      <c r="D63" s="93" t="s">
        <v>89</v>
      </c>
      <c r="E63" s="113"/>
      <c r="F63" s="62" t="s">
        <v>155</v>
      </c>
      <c r="G63" s="175"/>
      <c r="H63" s="175"/>
      <c r="I63" s="175"/>
      <c r="J63" s="175"/>
      <c r="K63" s="51">
        <f t="shared" si="0"/>
        <v>0</v>
      </c>
      <c r="L63" s="256"/>
    </row>
    <row r="64" spans="2:12" s="78" customFormat="1" ht="17.25" customHeight="1" x14ac:dyDescent="0.35">
      <c r="B64" s="268"/>
      <c r="C64" s="222"/>
      <c r="D64" s="94" t="s">
        <v>90</v>
      </c>
      <c r="E64" s="113"/>
      <c r="F64" s="62" t="s">
        <v>155</v>
      </c>
      <c r="G64" s="175"/>
      <c r="H64" s="175"/>
      <c r="I64" s="175"/>
      <c r="J64" s="175"/>
      <c r="K64" s="51">
        <f t="shared" si="0"/>
        <v>0</v>
      </c>
      <c r="L64" s="256"/>
    </row>
    <row r="65" spans="2:12" s="78" customFormat="1" ht="17.25" customHeight="1" x14ac:dyDescent="0.35">
      <c r="B65" s="268"/>
      <c r="C65" s="222" t="s">
        <v>92</v>
      </c>
      <c r="D65" s="93" t="s">
        <v>89</v>
      </c>
      <c r="E65" s="113"/>
      <c r="F65" s="62" t="s">
        <v>155</v>
      </c>
      <c r="G65" s="175"/>
      <c r="H65" s="175"/>
      <c r="I65" s="175"/>
      <c r="J65" s="175"/>
      <c r="K65" s="51">
        <f t="shared" si="0"/>
        <v>0</v>
      </c>
      <c r="L65" s="256"/>
    </row>
    <row r="66" spans="2:12" s="78" customFormat="1" ht="17.25" customHeight="1" x14ac:dyDescent="0.35">
      <c r="B66" s="268"/>
      <c r="C66" s="222"/>
      <c r="D66" s="94" t="s">
        <v>90</v>
      </c>
      <c r="E66" s="113"/>
      <c r="F66" s="62" t="s">
        <v>155</v>
      </c>
      <c r="G66" s="175"/>
      <c r="H66" s="175"/>
      <c r="I66" s="175"/>
      <c r="J66" s="175"/>
      <c r="K66" s="51">
        <f t="shared" si="0"/>
        <v>0</v>
      </c>
      <c r="L66" s="256"/>
    </row>
    <row r="67" spans="2:12" s="78" customFormat="1" ht="17.25" customHeight="1" x14ac:dyDescent="0.35">
      <c r="B67" s="268"/>
      <c r="C67" s="223" t="s">
        <v>95</v>
      </c>
      <c r="D67" s="93" t="s">
        <v>93</v>
      </c>
      <c r="E67" s="113"/>
      <c r="F67" s="62" t="s">
        <v>155</v>
      </c>
      <c r="G67" s="175"/>
      <c r="H67" s="175"/>
      <c r="I67" s="175"/>
      <c r="J67" s="175"/>
      <c r="K67" s="51">
        <f t="shared" si="0"/>
        <v>0</v>
      </c>
      <c r="L67" s="256"/>
    </row>
    <row r="68" spans="2:12" s="78" customFormat="1" ht="17.25" customHeight="1" x14ac:dyDescent="0.35">
      <c r="B68" s="268"/>
      <c r="C68" s="409"/>
      <c r="D68" s="94" t="s">
        <v>94</v>
      </c>
      <c r="E68" s="113"/>
      <c r="F68" s="62" t="s">
        <v>155</v>
      </c>
      <c r="G68" s="175"/>
      <c r="H68" s="175"/>
      <c r="I68" s="175"/>
      <c r="J68" s="175"/>
      <c r="K68" s="51">
        <f t="shared" si="0"/>
        <v>0</v>
      </c>
      <c r="L68" s="256"/>
    </row>
    <row r="69" spans="2:12" s="78" customFormat="1" ht="17.25" customHeight="1" x14ac:dyDescent="0.35">
      <c r="B69" s="268"/>
      <c r="C69" s="293" t="s">
        <v>96</v>
      </c>
      <c r="D69" s="93" t="s">
        <v>77</v>
      </c>
      <c r="E69" s="113"/>
      <c r="F69" s="62" t="s">
        <v>155</v>
      </c>
      <c r="G69" s="175"/>
      <c r="H69" s="175"/>
      <c r="I69" s="175"/>
      <c r="J69" s="175"/>
      <c r="K69" s="51">
        <f t="shared" si="0"/>
        <v>0</v>
      </c>
      <c r="L69" s="256"/>
    </row>
    <row r="70" spans="2:12" s="78" customFormat="1" ht="17.25" customHeight="1" x14ac:dyDescent="0.35">
      <c r="B70" s="268"/>
      <c r="C70" s="293"/>
      <c r="D70" s="94" t="s">
        <v>78</v>
      </c>
      <c r="E70" s="113"/>
      <c r="F70" s="62" t="s">
        <v>155</v>
      </c>
      <c r="G70" s="175"/>
      <c r="H70" s="175"/>
      <c r="I70" s="175"/>
      <c r="J70" s="175"/>
      <c r="K70" s="51">
        <f t="shared" si="0"/>
        <v>0</v>
      </c>
      <c r="L70" s="256"/>
    </row>
    <row r="71" spans="2:12" s="78" customFormat="1" ht="17.25" customHeight="1" x14ac:dyDescent="0.35">
      <c r="B71" s="268"/>
      <c r="C71" s="293"/>
      <c r="D71" s="94" t="s">
        <v>79</v>
      </c>
      <c r="E71" s="113"/>
      <c r="F71" s="62" t="s">
        <v>155</v>
      </c>
      <c r="G71" s="175"/>
      <c r="H71" s="175"/>
      <c r="I71" s="175"/>
      <c r="J71" s="175"/>
      <c r="K71" s="51">
        <f t="shared" si="0"/>
        <v>0</v>
      </c>
      <c r="L71" s="256"/>
    </row>
    <row r="72" spans="2:12" s="78" customFormat="1" ht="17.25" customHeight="1" x14ac:dyDescent="0.35">
      <c r="B72" s="268"/>
      <c r="C72" s="293" t="s">
        <v>98</v>
      </c>
      <c r="D72" s="93" t="s">
        <v>97</v>
      </c>
      <c r="E72" s="113"/>
      <c r="F72" s="62" t="s">
        <v>155</v>
      </c>
      <c r="G72" s="175"/>
      <c r="H72" s="175"/>
      <c r="I72" s="175"/>
      <c r="J72" s="175"/>
      <c r="K72" s="51">
        <f t="shared" si="0"/>
        <v>0</v>
      </c>
      <c r="L72" s="256"/>
    </row>
    <row r="73" spans="2:12" s="78" customFormat="1" ht="17.25" customHeight="1" x14ac:dyDescent="0.35">
      <c r="B73" s="268"/>
      <c r="C73" s="293"/>
      <c r="D73" s="95" t="s">
        <v>79</v>
      </c>
      <c r="E73" s="113"/>
      <c r="F73" s="62" t="s">
        <v>155</v>
      </c>
      <c r="G73" s="175"/>
      <c r="H73" s="175"/>
      <c r="I73" s="175"/>
      <c r="J73" s="175"/>
      <c r="K73" s="51">
        <f t="shared" si="0"/>
        <v>0</v>
      </c>
      <c r="L73" s="256"/>
    </row>
    <row r="74" spans="2:12" s="78" customFormat="1" ht="17.25" customHeight="1" x14ac:dyDescent="0.35">
      <c r="B74" s="376" t="s">
        <v>178</v>
      </c>
      <c r="C74" s="294" t="s">
        <v>80</v>
      </c>
      <c r="D74" s="94" t="s">
        <v>74</v>
      </c>
      <c r="E74" s="113"/>
      <c r="F74" s="62" t="s">
        <v>155</v>
      </c>
      <c r="G74" s="175"/>
      <c r="H74" s="175"/>
      <c r="I74" s="175"/>
      <c r="J74" s="175"/>
      <c r="K74" s="51">
        <f t="shared" si="0"/>
        <v>0</v>
      </c>
      <c r="L74" s="231">
        <f>SUM(K74:K81)</f>
        <v>0</v>
      </c>
    </row>
    <row r="75" spans="2:12" s="78" customFormat="1" ht="17.25" customHeight="1" x14ac:dyDescent="0.35">
      <c r="B75" s="377"/>
      <c r="C75" s="294"/>
      <c r="D75" s="94" t="s">
        <v>75</v>
      </c>
      <c r="E75" s="113"/>
      <c r="F75" s="62" t="s">
        <v>155</v>
      </c>
      <c r="G75" s="175"/>
      <c r="H75" s="175"/>
      <c r="I75" s="175"/>
      <c r="J75" s="175"/>
      <c r="K75" s="51">
        <f t="shared" si="0"/>
        <v>0</v>
      </c>
      <c r="L75" s="232"/>
    </row>
    <row r="76" spans="2:12" s="78" customFormat="1" ht="17.25" customHeight="1" x14ac:dyDescent="0.35">
      <c r="B76" s="377"/>
      <c r="C76" s="294" t="s">
        <v>81</v>
      </c>
      <c r="D76" s="94" t="s">
        <v>74</v>
      </c>
      <c r="E76" s="113"/>
      <c r="F76" s="62" t="s">
        <v>155</v>
      </c>
      <c r="G76" s="175"/>
      <c r="H76" s="175"/>
      <c r="I76" s="175"/>
      <c r="J76" s="175"/>
      <c r="K76" s="51">
        <f t="shared" si="0"/>
        <v>0</v>
      </c>
      <c r="L76" s="232"/>
    </row>
    <row r="77" spans="2:12" s="78" customFormat="1" ht="17.25" customHeight="1" x14ac:dyDescent="0.35">
      <c r="B77" s="377"/>
      <c r="C77" s="294"/>
      <c r="D77" s="94" t="s">
        <v>75</v>
      </c>
      <c r="E77" s="113"/>
      <c r="F77" s="62" t="s">
        <v>155</v>
      </c>
      <c r="G77" s="175"/>
      <c r="H77" s="175"/>
      <c r="I77" s="175"/>
      <c r="J77" s="175"/>
      <c r="K77" s="51">
        <f t="shared" si="0"/>
        <v>0</v>
      </c>
      <c r="L77" s="232"/>
    </row>
    <row r="78" spans="2:12" s="78" customFormat="1" ht="17.25" customHeight="1" x14ac:dyDescent="0.35">
      <c r="B78" s="377"/>
      <c r="C78" s="214" t="s">
        <v>240</v>
      </c>
      <c r="D78" s="215"/>
      <c r="E78" s="113"/>
      <c r="F78" s="62" t="s">
        <v>155</v>
      </c>
      <c r="G78" s="175"/>
      <c r="H78" s="175"/>
      <c r="I78" s="175"/>
      <c r="J78" s="175"/>
      <c r="K78" s="51">
        <f t="shared" si="0"/>
        <v>0</v>
      </c>
      <c r="L78" s="232"/>
    </row>
    <row r="79" spans="2:12" s="78" customFormat="1" ht="17.25" customHeight="1" x14ac:dyDescent="0.35">
      <c r="B79" s="377"/>
      <c r="C79" s="216" t="s">
        <v>238</v>
      </c>
      <c r="D79" s="172" t="s">
        <v>74</v>
      </c>
      <c r="E79" s="113"/>
      <c r="F79" s="62" t="s">
        <v>155</v>
      </c>
      <c r="G79" s="175"/>
      <c r="H79" s="175"/>
      <c r="I79" s="175"/>
      <c r="J79" s="175"/>
      <c r="K79" s="51">
        <f t="shared" si="0"/>
        <v>0</v>
      </c>
      <c r="L79" s="232"/>
    </row>
    <row r="80" spans="2:12" s="78" customFormat="1" ht="17.25" customHeight="1" x14ac:dyDescent="0.35">
      <c r="B80" s="377"/>
      <c r="C80" s="217"/>
      <c r="D80" s="172" t="s">
        <v>239</v>
      </c>
      <c r="E80" s="113"/>
      <c r="F80" s="62" t="s">
        <v>155</v>
      </c>
      <c r="G80" s="175"/>
      <c r="H80" s="175"/>
      <c r="I80" s="175"/>
      <c r="J80" s="175"/>
      <c r="K80" s="51">
        <f t="shared" si="0"/>
        <v>0</v>
      </c>
      <c r="L80" s="232"/>
    </row>
    <row r="81" spans="2:12" s="78" customFormat="1" ht="17.25" customHeight="1" x14ac:dyDescent="0.35">
      <c r="B81" s="378"/>
      <c r="C81" s="218"/>
      <c r="D81" s="172" t="s">
        <v>75</v>
      </c>
      <c r="E81" s="113"/>
      <c r="F81" s="62" t="s">
        <v>155</v>
      </c>
      <c r="G81" s="175"/>
      <c r="H81" s="175"/>
      <c r="I81" s="175"/>
      <c r="J81" s="175"/>
      <c r="K81" s="51">
        <f t="shared" si="0"/>
        <v>0</v>
      </c>
      <c r="L81" s="233"/>
    </row>
    <row r="82" spans="2:12" s="78" customFormat="1" ht="17.25" customHeight="1" x14ac:dyDescent="0.35">
      <c r="B82" s="339" t="s">
        <v>180</v>
      </c>
      <c r="C82" s="288" t="s">
        <v>68</v>
      </c>
      <c r="D82" s="334"/>
      <c r="E82" s="113"/>
      <c r="F82" s="139" t="s">
        <v>155</v>
      </c>
      <c r="G82" s="175"/>
      <c r="H82" s="175"/>
      <c r="I82" s="175"/>
      <c r="J82" s="175"/>
      <c r="K82" s="51">
        <f t="shared" si="0"/>
        <v>0</v>
      </c>
      <c r="L82" s="256">
        <f>SUM(K82:K83)</f>
        <v>0</v>
      </c>
    </row>
    <row r="83" spans="2:12" s="78" customFormat="1" ht="17.25" customHeight="1" x14ac:dyDescent="0.35">
      <c r="B83" s="268"/>
      <c r="C83" s="288" t="s">
        <v>102</v>
      </c>
      <c r="D83" s="288"/>
      <c r="E83" s="140"/>
      <c r="F83" s="62" t="s">
        <v>155</v>
      </c>
      <c r="G83" s="175"/>
      <c r="H83" s="175"/>
      <c r="I83" s="175"/>
      <c r="J83" s="175"/>
      <c r="K83" s="51">
        <f t="shared" si="0"/>
        <v>0</v>
      </c>
      <c r="L83" s="256"/>
    </row>
    <row r="84" spans="2:12" s="78" customFormat="1" ht="17.25" customHeight="1" x14ac:dyDescent="0.35">
      <c r="B84" s="339" t="s">
        <v>181</v>
      </c>
      <c r="C84" s="400" t="s">
        <v>101</v>
      </c>
      <c r="D84" s="401"/>
      <c r="E84" s="401"/>
      <c r="F84" s="402"/>
      <c r="G84" s="175"/>
      <c r="H84" s="175"/>
      <c r="I84" s="175"/>
      <c r="J84" s="175"/>
      <c r="K84" s="51">
        <f t="shared" si="0"/>
        <v>0</v>
      </c>
      <c r="L84" s="256">
        <f>SUM(K84:K85)</f>
        <v>0</v>
      </c>
    </row>
    <row r="85" spans="2:12" s="78" customFormat="1" ht="15.65" customHeight="1" thickBot="1" x14ac:dyDescent="0.4">
      <c r="B85" s="269"/>
      <c r="C85" s="403" t="s">
        <v>66</v>
      </c>
      <c r="D85" s="404"/>
      <c r="E85" s="404"/>
      <c r="F85" s="405"/>
      <c r="G85" s="176"/>
      <c r="H85" s="176"/>
      <c r="I85" s="176"/>
      <c r="J85" s="176"/>
      <c r="K85" s="56">
        <f t="shared" si="0"/>
        <v>0</v>
      </c>
      <c r="L85" s="257"/>
    </row>
    <row r="86" spans="2:12" s="96" customFormat="1" ht="20.5" customHeight="1" x14ac:dyDescent="0.35">
      <c r="B86" s="392" t="s">
        <v>116</v>
      </c>
      <c r="C86" s="393"/>
      <c r="D86" s="393"/>
      <c r="E86" s="393"/>
      <c r="F86" s="393"/>
      <c r="G86" s="393"/>
      <c r="H86" s="393"/>
      <c r="I86" s="393"/>
      <c r="J86" s="394"/>
      <c r="K86" s="395">
        <f>SUM(K47:K85)</f>
        <v>0</v>
      </c>
      <c r="L86" s="396"/>
    </row>
    <row r="87" spans="2:12" s="96" customFormat="1" ht="14.5" customHeight="1" x14ac:dyDescent="0.35">
      <c r="B87" s="352" t="s">
        <v>182</v>
      </c>
      <c r="C87" s="212" t="s">
        <v>105</v>
      </c>
      <c r="D87" s="354"/>
      <c r="E87" s="354"/>
      <c r="F87" s="354"/>
      <c r="G87" s="354"/>
      <c r="H87" s="355"/>
      <c r="I87" s="359" t="s">
        <v>10</v>
      </c>
      <c r="J87" s="360"/>
      <c r="K87" s="361" t="s">
        <v>11</v>
      </c>
      <c r="L87" s="361"/>
    </row>
    <row r="88" spans="2:12" s="78" customFormat="1" ht="20.5" customHeight="1" thickBot="1" x14ac:dyDescent="0.4">
      <c r="B88" s="353"/>
      <c r="C88" s="213"/>
      <c r="D88" s="356"/>
      <c r="E88" s="356"/>
      <c r="F88" s="356"/>
      <c r="G88" s="356"/>
      <c r="H88" s="357"/>
      <c r="I88" s="358"/>
      <c r="J88" s="358"/>
      <c r="K88" s="358"/>
      <c r="L88" s="358"/>
    </row>
    <row r="89" spans="2:12" s="96" customFormat="1" ht="21.65" customHeight="1" thickBot="1" x14ac:dyDescent="0.4">
      <c r="B89" s="387" t="s">
        <v>110</v>
      </c>
      <c r="C89" s="388"/>
      <c r="D89" s="388"/>
      <c r="E89" s="388"/>
      <c r="F89" s="388"/>
      <c r="G89" s="388"/>
      <c r="H89" s="388"/>
      <c r="I89" s="388"/>
      <c r="J89" s="389"/>
      <c r="K89" s="390">
        <f>IFERROR(+K88+K86,)</f>
        <v>0</v>
      </c>
      <c r="L89" s="391"/>
    </row>
    <row r="90" spans="2:12" s="78" customFormat="1" ht="15.75" customHeight="1" x14ac:dyDescent="0.35">
      <c r="B90" s="97"/>
      <c r="C90" s="97"/>
      <c r="D90" s="97"/>
      <c r="E90" s="97"/>
      <c r="F90" s="97"/>
      <c r="G90" s="97"/>
      <c r="H90" s="97"/>
      <c r="I90" s="97"/>
      <c r="J90" s="97"/>
      <c r="K90" s="97"/>
      <c r="L90" s="97"/>
    </row>
    <row r="91" spans="2:12" s="78" customFormat="1" ht="61.5" customHeight="1" x14ac:dyDescent="0.35">
      <c r="B91" s="397" t="s">
        <v>40</v>
      </c>
      <c r="C91" s="398"/>
      <c r="D91" s="398"/>
      <c r="E91" s="398"/>
      <c r="F91" s="398"/>
      <c r="G91" s="398"/>
      <c r="H91" s="398"/>
      <c r="I91" s="398"/>
      <c r="J91" s="398"/>
      <c r="K91" s="398"/>
      <c r="L91" s="399"/>
    </row>
    <row r="92" spans="2:12" s="78" customFormat="1" ht="43" customHeight="1" x14ac:dyDescent="0.35">
      <c r="B92" s="406"/>
      <c r="C92" s="407"/>
      <c r="D92" s="407"/>
      <c r="E92" s="407"/>
      <c r="F92" s="407"/>
      <c r="G92" s="407"/>
      <c r="H92" s="407"/>
      <c r="I92" s="407"/>
      <c r="J92" s="407"/>
      <c r="K92" s="407"/>
      <c r="L92" s="408"/>
    </row>
    <row r="93" spans="2:12" s="78" customFormat="1" ht="32.15" customHeight="1" x14ac:dyDescent="0.35">
      <c r="B93" s="381" t="s">
        <v>67</v>
      </c>
      <c r="C93" s="382"/>
      <c r="D93" s="382"/>
      <c r="E93" s="382"/>
      <c r="F93" s="382"/>
      <c r="G93" s="382"/>
      <c r="H93" s="382"/>
      <c r="I93" s="382"/>
      <c r="J93" s="382"/>
      <c r="K93" s="382"/>
      <c r="L93" s="383"/>
    </row>
    <row r="94" spans="2:12" s="78" customFormat="1" ht="7" customHeight="1" x14ac:dyDescent="0.35">
      <c r="B94" s="97"/>
      <c r="C94" s="97"/>
      <c r="D94" s="97"/>
      <c r="E94" s="97"/>
      <c r="F94" s="97"/>
      <c r="G94" s="97"/>
      <c r="H94" s="97"/>
      <c r="I94" s="97"/>
      <c r="J94" s="97"/>
      <c r="K94" s="97"/>
      <c r="L94" s="97"/>
    </row>
    <row r="95" spans="2:12" s="78" customFormat="1" ht="18.5" hidden="1" x14ac:dyDescent="0.45">
      <c r="B95" s="384" t="s">
        <v>126</v>
      </c>
      <c r="C95" s="385"/>
      <c r="D95" s="385"/>
      <c r="E95" s="385"/>
      <c r="F95" s="385"/>
      <c r="G95" s="385"/>
      <c r="H95" s="385"/>
      <c r="I95" s="385"/>
      <c r="J95" s="385"/>
      <c r="K95" s="385"/>
      <c r="L95" s="386"/>
    </row>
    <row r="96" spans="2:12" s="78" customFormat="1" ht="42" customHeight="1" x14ac:dyDescent="0.35">
      <c r="B96" s="331" t="s">
        <v>127</v>
      </c>
      <c r="C96" s="332"/>
      <c r="D96" s="332"/>
      <c r="E96" s="332"/>
      <c r="F96" s="332"/>
      <c r="G96" s="332"/>
      <c r="H96" s="332"/>
      <c r="I96" s="332"/>
      <c r="J96" s="332"/>
      <c r="K96" s="332"/>
      <c r="L96" s="333"/>
    </row>
    <row r="97" spans="2:12" s="78" customFormat="1" ht="41.25" customHeight="1" x14ac:dyDescent="0.35">
      <c r="B97" s="329" t="s">
        <v>216</v>
      </c>
      <c r="C97" s="329"/>
      <c r="D97" s="329"/>
      <c r="E97" s="329"/>
      <c r="F97" s="329"/>
      <c r="G97" s="330"/>
      <c r="H97" s="328"/>
      <c r="I97" s="328"/>
      <c r="J97" s="328"/>
      <c r="K97" s="328"/>
      <c r="L97" s="138"/>
    </row>
    <row r="98" spans="2:12" s="78" customFormat="1" ht="39" customHeight="1" x14ac:dyDescent="0.35">
      <c r="B98" s="327" t="s">
        <v>209</v>
      </c>
      <c r="C98" s="327"/>
      <c r="D98" s="327"/>
      <c r="E98" s="327"/>
      <c r="F98" s="327"/>
      <c r="G98" s="328"/>
      <c r="H98" s="328"/>
      <c r="I98" s="328"/>
      <c r="J98" s="328"/>
      <c r="K98" s="328"/>
      <c r="L98" s="138"/>
    </row>
    <row r="99" spans="2:12" s="78" customFormat="1" ht="51.75" customHeight="1" x14ac:dyDescent="0.35">
      <c r="B99" s="329" t="s">
        <v>211</v>
      </c>
      <c r="C99" s="329"/>
      <c r="D99" s="329"/>
      <c r="E99" s="329"/>
      <c r="F99" s="329"/>
      <c r="G99" s="330"/>
      <c r="H99" s="328"/>
      <c r="I99" s="328"/>
      <c r="J99" s="328"/>
      <c r="K99" s="328"/>
      <c r="L99" s="138"/>
    </row>
    <row r="100" spans="2:12" s="78" customFormat="1" ht="51.75" customHeight="1" x14ac:dyDescent="0.35">
      <c r="B100" s="329" t="s">
        <v>210</v>
      </c>
      <c r="C100" s="329"/>
      <c r="D100" s="329"/>
      <c r="E100" s="329"/>
      <c r="F100" s="329"/>
      <c r="G100" s="330"/>
      <c r="H100" s="328"/>
      <c r="I100" s="328"/>
      <c r="J100" s="328"/>
      <c r="K100" s="328"/>
      <c r="L100" s="138"/>
    </row>
    <row r="101" spans="2:12" s="78" customFormat="1" ht="51.75" customHeight="1" x14ac:dyDescent="0.35">
      <c r="B101" s="327" t="s">
        <v>212</v>
      </c>
      <c r="C101" s="327"/>
      <c r="D101" s="327"/>
      <c r="E101" s="327"/>
      <c r="F101" s="327"/>
      <c r="G101" s="328"/>
      <c r="H101" s="328"/>
      <c r="I101" s="328"/>
      <c r="J101" s="328"/>
      <c r="K101" s="328"/>
      <c r="L101" s="138"/>
    </row>
    <row r="102" spans="2:12" s="78" customFormat="1" ht="39" customHeight="1" x14ac:dyDescent="0.35">
      <c r="B102" s="327" t="s">
        <v>213</v>
      </c>
      <c r="C102" s="327"/>
      <c r="D102" s="327"/>
      <c r="E102" s="327"/>
      <c r="F102" s="327"/>
      <c r="G102" s="328"/>
      <c r="H102" s="328"/>
      <c r="I102" s="328"/>
      <c r="J102" s="328"/>
      <c r="K102" s="328"/>
      <c r="L102" s="138"/>
    </row>
    <row r="103" spans="2:12" s="78" customFormat="1" ht="51.75" customHeight="1" x14ac:dyDescent="0.35">
      <c r="B103" s="327" t="s">
        <v>214</v>
      </c>
      <c r="C103" s="327"/>
      <c r="D103" s="327"/>
      <c r="E103" s="327"/>
      <c r="F103" s="327"/>
      <c r="G103" s="327"/>
      <c r="H103" s="328"/>
      <c r="I103" s="328"/>
      <c r="J103" s="328"/>
      <c r="K103" s="328"/>
      <c r="L103" s="138"/>
    </row>
    <row r="104" spans="2:12" s="78" customFormat="1" ht="46" customHeight="1" x14ac:dyDescent="0.35">
      <c r="B104" s="329" t="s">
        <v>215</v>
      </c>
      <c r="C104" s="329"/>
      <c r="D104" s="329"/>
      <c r="E104" s="329"/>
      <c r="F104" s="329"/>
      <c r="G104" s="330"/>
      <c r="H104" s="328"/>
      <c r="I104" s="328"/>
      <c r="J104" s="328"/>
      <c r="K104" s="328"/>
      <c r="L104" s="138"/>
    </row>
    <row r="105" spans="2:12" s="17" customFormat="1" ht="5.5" customHeight="1" x14ac:dyDescent="0.35">
      <c r="B105" s="36"/>
      <c r="C105" s="36"/>
      <c r="D105" s="36"/>
      <c r="E105" s="36"/>
      <c r="F105" s="36"/>
      <c r="G105" s="37"/>
      <c r="H105" s="44"/>
      <c r="I105" s="44"/>
      <c r="J105" s="44"/>
      <c r="K105" s="44"/>
      <c r="L105" s="44"/>
    </row>
    <row r="106" spans="2:12" s="76" customFormat="1" ht="20.5" customHeight="1" x14ac:dyDescent="0.3">
      <c r="B106" s="141"/>
      <c r="C106" s="76" t="s">
        <v>131</v>
      </c>
      <c r="D106" s="87"/>
      <c r="E106" s="87"/>
      <c r="F106" s="87"/>
      <c r="G106" s="87"/>
      <c r="H106" s="87"/>
      <c r="I106" s="87"/>
      <c r="J106" s="87"/>
      <c r="K106" s="87"/>
      <c r="L106" s="87"/>
    </row>
    <row r="107" spans="2:12" s="76" customFormat="1" ht="12.75" customHeight="1" x14ac:dyDescent="0.3">
      <c r="B107" s="87"/>
      <c r="C107" s="87"/>
      <c r="D107" s="87"/>
      <c r="E107" s="87"/>
      <c r="F107" s="87"/>
      <c r="G107" s="87"/>
      <c r="H107" s="87"/>
      <c r="I107" s="87"/>
      <c r="J107" s="87"/>
      <c r="K107" s="87"/>
      <c r="L107" s="87"/>
    </row>
    <row r="108" spans="2:12" s="76" customFormat="1" ht="13" x14ac:dyDescent="0.3">
      <c r="B108" s="87"/>
      <c r="C108" s="379"/>
      <c r="D108" s="379"/>
      <c r="E108" s="379"/>
      <c r="F108" s="87"/>
      <c r="G108" s="87"/>
      <c r="H108" s="379"/>
      <c r="I108" s="379"/>
      <c r="J108" s="379"/>
      <c r="K108" s="379"/>
      <c r="L108" s="87"/>
    </row>
    <row r="109" spans="2:12" s="90" customFormat="1" ht="13" x14ac:dyDescent="0.3">
      <c r="B109" s="91"/>
      <c r="C109" s="324" t="str">
        <f>IF(ISBLANK(E4),"",E4)</f>
        <v/>
      </c>
      <c r="D109" s="324"/>
      <c r="E109" s="324"/>
      <c r="F109" s="91"/>
      <c r="G109" s="91"/>
      <c r="H109" s="324" t="str">
        <f>IF(ISBLANK(E9),"",E9)</f>
        <v/>
      </c>
      <c r="I109" s="324"/>
      <c r="J109" s="324"/>
      <c r="K109" s="324"/>
      <c r="L109" s="91"/>
    </row>
    <row r="110" spans="2:12" s="76" customFormat="1" ht="13" x14ac:dyDescent="0.3">
      <c r="B110" s="87"/>
      <c r="C110" s="325" t="s">
        <v>129</v>
      </c>
      <c r="D110" s="325"/>
      <c r="E110" s="325"/>
      <c r="F110" s="87"/>
      <c r="G110" s="87"/>
      <c r="H110" s="325" t="s">
        <v>128</v>
      </c>
      <c r="I110" s="325"/>
      <c r="J110" s="325"/>
      <c r="K110" s="325"/>
      <c r="L110" s="87"/>
    </row>
    <row r="111" spans="2:12" s="78" customFormat="1" ht="27.75" customHeight="1" x14ac:dyDescent="0.35">
      <c r="B111" s="340" t="s">
        <v>19</v>
      </c>
      <c r="C111" s="340"/>
      <c r="D111" s="340"/>
      <c r="E111" s="340"/>
      <c r="F111" s="340"/>
      <c r="G111" s="340"/>
      <c r="H111" s="340"/>
      <c r="I111" s="340"/>
      <c r="J111" s="340"/>
      <c r="K111" s="340"/>
      <c r="L111" s="340"/>
    </row>
    <row r="112" spans="2:12" s="76" customFormat="1" ht="13" x14ac:dyDescent="0.3">
      <c r="B112" s="87"/>
      <c r="C112" s="92"/>
      <c r="D112" s="92"/>
      <c r="E112" s="92"/>
      <c r="F112" s="87"/>
      <c r="G112" s="87"/>
      <c r="H112" s="92"/>
      <c r="I112" s="92"/>
      <c r="J112" s="92"/>
      <c r="K112" s="92"/>
      <c r="L112" s="87"/>
    </row>
    <row r="113" spans="2:12" s="76" customFormat="1" ht="13" x14ac:dyDescent="0.3">
      <c r="B113" s="87"/>
      <c r="C113" s="379"/>
      <c r="D113" s="379"/>
      <c r="E113" s="379"/>
      <c r="F113" s="87"/>
      <c r="G113" s="87"/>
      <c r="H113" s="379"/>
      <c r="I113" s="379"/>
      <c r="J113" s="379"/>
      <c r="K113" s="379"/>
      <c r="L113" s="87"/>
    </row>
    <row r="114" spans="2:12" s="76" customFormat="1" ht="13" x14ac:dyDescent="0.3">
      <c r="B114" s="87"/>
      <c r="C114" s="323" t="s">
        <v>16</v>
      </c>
      <c r="D114" s="323"/>
      <c r="E114" s="323"/>
      <c r="F114" s="87"/>
      <c r="G114" s="87"/>
      <c r="H114" s="323" t="s">
        <v>16</v>
      </c>
      <c r="I114" s="323"/>
      <c r="J114" s="323"/>
      <c r="K114" s="323"/>
      <c r="L114" s="87"/>
    </row>
    <row r="115" spans="2:12" s="76" customFormat="1" ht="13" x14ac:dyDescent="0.3">
      <c r="B115" s="87"/>
      <c r="C115" s="380"/>
      <c r="D115" s="380"/>
      <c r="E115" s="380"/>
      <c r="F115" s="87"/>
      <c r="G115" s="87"/>
      <c r="H115" s="380"/>
      <c r="I115" s="380"/>
      <c r="J115" s="380"/>
      <c r="K115" s="380"/>
      <c r="L115" s="87"/>
    </row>
    <row r="116" spans="2:12" s="76" customFormat="1" ht="13" x14ac:dyDescent="0.3">
      <c r="B116" s="87"/>
      <c r="C116" s="323" t="s">
        <v>17</v>
      </c>
      <c r="D116" s="323"/>
      <c r="E116" s="323"/>
      <c r="F116" s="87"/>
      <c r="G116" s="87"/>
      <c r="H116" s="323" t="s">
        <v>17</v>
      </c>
      <c r="I116" s="323"/>
      <c r="J116" s="323"/>
      <c r="K116" s="323"/>
      <c r="L116" s="87"/>
    </row>
    <row r="117" spans="2:12" s="76" customFormat="1" ht="13" x14ac:dyDescent="0.3">
      <c r="B117" s="87"/>
      <c r="C117" s="380"/>
      <c r="D117" s="380"/>
      <c r="E117" s="380"/>
      <c r="F117" s="87"/>
      <c r="G117" s="87"/>
      <c r="H117" s="380"/>
      <c r="I117" s="380"/>
      <c r="J117" s="380"/>
      <c r="K117" s="380"/>
      <c r="L117" s="87"/>
    </row>
    <row r="118" spans="2:12" s="76" customFormat="1" ht="13" hidden="1" x14ac:dyDescent="0.3">
      <c r="B118" s="87"/>
      <c r="C118" s="323" t="s">
        <v>18</v>
      </c>
      <c r="D118" s="323"/>
      <c r="E118" s="323"/>
      <c r="F118" s="87"/>
      <c r="G118" s="87"/>
      <c r="H118" s="323" t="s">
        <v>18</v>
      </c>
      <c r="I118" s="323"/>
      <c r="J118" s="323"/>
      <c r="K118" s="323"/>
      <c r="L118" s="87"/>
    </row>
    <row r="126" spans="2:12" x14ac:dyDescent="0.35"/>
    <row r="127" spans="2:12" x14ac:dyDescent="0.35"/>
    <row r="128" spans="2:12" x14ac:dyDescent="0.35"/>
    <row r="131" x14ac:dyDescent="0.35"/>
  </sheetData>
  <sheetProtection algorithmName="SHA-512" hashValue="ulBNVOCuLNUvvGNhf2HW65ujrQULlQYWONQvGT0XGlebbA37ZttcRq3E14C/nMZoXa+9BXsGT6bknIMcXneKBQ==" saltValue="2bT3kb7mKeAupNeKkywGig==" spinCount="100000" sheet="1" selectLockedCells="1"/>
  <protectedRanges>
    <protectedRange sqref="K82:K85 K47:K50 K69:L81 K51:L68 G47:J85" name="Tartomány2_1"/>
    <protectedRange sqref="K82:K85 K47:K50 K69:L81 K51:L68 G47:J85" name="Tartomány1_1"/>
    <protectedRange sqref="L47:L50 L82:L85" name="Tartomány2_5"/>
    <protectedRange sqref="D89 D86" name="Tartomány1_5"/>
    <protectedRange sqref="G88:I88 K88" name="Tartomány2_1_1"/>
    <protectedRange sqref="G88:I88 K88" name="Tartomány1_1_1"/>
    <protectedRange sqref="D87" name="Tartomány1_5_1"/>
    <protectedRange sqref="E49:E50" name="Tartomány2_2_1_1"/>
    <protectedRange sqref="E49:E50" name="Tartomány1_2_1_1"/>
  </protectedRanges>
  <dataConsolidate/>
  <mergeCells count="121">
    <mergeCell ref="B1:J1"/>
    <mergeCell ref="B2:J2"/>
    <mergeCell ref="B4:D4"/>
    <mergeCell ref="E4:J4"/>
    <mergeCell ref="B5:D5"/>
    <mergeCell ref="E5:J5"/>
    <mergeCell ref="B31:C31"/>
    <mergeCell ref="B32:C32"/>
    <mergeCell ref="D30:E30"/>
    <mergeCell ref="B10:D10"/>
    <mergeCell ref="E10:J10"/>
    <mergeCell ref="B11:D11"/>
    <mergeCell ref="E11:J11"/>
    <mergeCell ref="B12:D12"/>
    <mergeCell ref="E12:J12"/>
    <mergeCell ref="B6:D6"/>
    <mergeCell ref="E6:J6"/>
    <mergeCell ref="B7:D7"/>
    <mergeCell ref="E7:J7"/>
    <mergeCell ref="B9:D9"/>
    <mergeCell ref="E9:J9"/>
    <mergeCell ref="B19:D19"/>
    <mergeCell ref="E19:J19"/>
    <mergeCell ref="B21:L21"/>
    <mergeCell ref="B23:L23"/>
    <mergeCell ref="B27:L27"/>
    <mergeCell ref="B29:L29"/>
    <mergeCell ref="B13:D13"/>
    <mergeCell ref="E13:J13"/>
    <mergeCell ref="B14:L14"/>
    <mergeCell ref="B15:L15"/>
    <mergeCell ref="B17:L17"/>
    <mergeCell ref="B18:D18"/>
    <mergeCell ref="E18:J18"/>
    <mergeCell ref="B36:L36"/>
    <mergeCell ref="B38:L38"/>
    <mergeCell ref="B40:L40"/>
    <mergeCell ref="B41:L41"/>
    <mergeCell ref="C108:E108"/>
    <mergeCell ref="H108:K108"/>
    <mergeCell ref="D31:E31"/>
    <mergeCell ref="D32:E32"/>
    <mergeCell ref="D33:E33"/>
    <mergeCell ref="B33:C33"/>
    <mergeCell ref="K45:L46"/>
    <mergeCell ref="C47:F47"/>
    <mergeCell ref="C48:F48"/>
    <mergeCell ref="L47:L50"/>
    <mergeCell ref="L51:L73"/>
    <mergeCell ref="K87:L87"/>
    <mergeCell ref="I88:J88"/>
    <mergeCell ref="K88:L88"/>
    <mergeCell ref="B82:B83"/>
    <mergeCell ref="C82:D82"/>
    <mergeCell ref="L82:L83"/>
    <mergeCell ref="C83:D83"/>
    <mergeCell ref="B84:B85"/>
    <mergeCell ref="L84:L85"/>
    <mergeCell ref="C114:E114"/>
    <mergeCell ref="H114:K114"/>
    <mergeCell ref="C115:E115"/>
    <mergeCell ref="H115:K115"/>
    <mergeCell ref="C116:E116"/>
    <mergeCell ref="H116:K116"/>
    <mergeCell ref="C109:E109"/>
    <mergeCell ref="H109:K109"/>
    <mergeCell ref="C110:E110"/>
    <mergeCell ref="H110:K110"/>
    <mergeCell ref="B111:L111"/>
    <mergeCell ref="C113:E113"/>
    <mergeCell ref="H113:K113"/>
    <mergeCell ref="C117:E117"/>
    <mergeCell ref="H117:K117"/>
    <mergeCell ref="C118:E118"/>
    <mergeCell ref="H118:K118"/>
    <mergeCell ref="B44:C44"/>
    <mergeCell ref="B45:D46"/>
    <mergeCell ref="E45:E46"/>
    <mergeCell ref="F45:F46"/>
    <mergeCell ref="G45:H45"/>
    <mergeCell ref="I45:J45"/>
    <mergeCell ref="B47:B50"/>
    <mergeCell ref="C49:C50"/>
    <mergeCell ref="C69:C71"/>
    <mergeCell ref="C72:C73"/>
    <mergeCell ref="C74:C75"/>
    <mergeCell ref="C76:C77"/>
    <mergeCell ref="B51:B73"/>
    <mergeCell ref="C51:C53"/>
    <mergeCell ref="C54:C56"/>
    <mergeCell ref="C57:C59"/>
    <mergeCell ref="C60:C62"/>
    <mergeCell ref="C63:C64"/>
    <mergeCell ref="C65:C66"/>
    <mergeCell ref="C67:C68"/>
    <mergeCell ref="C84:F84"/>
    <mergeCell ref="C85:F85"/>
    <mergeCell ref="C78:D78"/>
    <mergeCell ref="C79:C81"/>
    <mergeCell ref="B74:B81"/>
    <mergeCell ref="L74:L81"/>
    <mergeCell ref="B101:K101"/>
    <mergeCell ref="B102:K102"/>
    <mergeCell ref="B86:J86"/>
    <mergeCell ref="K86:L86"/>
    <mergeCell ref="B87:B88"/>
    <mergeCell ref="C87:H88"/>
    <mergeCell ref="I87:J87"/>
    <mergeCell ref="B103:K103"/>
    <mergeCell ref="B104:K104"/>
    <mergeCell ref="B96:L96"/>
    <mergeCell ref="B97:K97"/>
    <mergeCell ref="B98:K98"/>
    <mergeCell ref="B99:K99"/>
    <mergeCell ref="B100:K100"/>
    <mergeCell ref="B89:J89"/>
    <mergeCell ref="K89:L89"/>
    <mergeCell ref="B91:L91"/>
    <mergeCell ref="B92:L92"/>
    <mergeCell ref="B93:L93"/>
    <mergeCell ref="B95:L95"/>
  </mergeCells>
  <conditionalFormatting sqref="B92">
    <cfRule type="containsBlanks" dxfId="22" priority="92">
      <formula>LEN(TRIM(B92))=0</formula>
    </cfRule>
  </conditionalFormatting>
  <conditionalFormatting sqref="C115:E115 H115:K115 C117:E117 H117:K117">
    <cfRule type="containsBlanks" dxfId="21" priority="85">
      <formula>LEN(TRIM(C115))=0</formula>
    </cfRule>
  </conditionalFormatting>
  <conditionalFormatting sqref="D31:E33">
    <cfRule type="containsBlanks" dxfId="20" priority="86">
      <formula>LEN(TRIM(D31))=0</formula>
    </cfRule>
  </conditionalFormatting>
  <conditionalFormatting sqref="E49:E50">
    <cfRule type="containsBlanks" dxfId="18" priority="2">
      <formula>LEN(TRIM(E49))=0</formula>
    </cfRule>
  </conditionalFormatting>
  <conditionalFormatting sqref="E5:J7 E9:J13">
    <cfRule type="containsBlanks" dxfId="14" priority="88">
      <formula>LEN(TRIM(E5))=0</formula>
    </cfRule>
  </conditionalFormatting>
  <conditionalFormatting sqref="G47:J85 E51:E83 B106">
    <cfRule type="containsBlanks" dxfId="12" priority="84">
      <formula>LEN(TRIM(B47))=0</formula>
    </cfRule>
  </conditionalFormatting>
  <conditionalFormatting sqref="I88:L88">
    <cfRule type="containsBlanks" dxfId="11" priority="83">
      <formula>LEN(TRIM(I88))=0</formula>
    </cfRule>
  </conditionalFormatting>
  <conditionalFormatting sqref="L97:L104">
    <cfRule type="cellIs" dxfId="10" priority="4" operator="equal">
      <formula>"Nem"</formula>
    </cfRule>
    <cfRule type="containsBlanks" dxfId="9" priority="5">
      <formula>LEN(TRIM(L97))=0</formula>
    </cfRule>
  </conditionalFormatting>
  <dataValidations count="8">
    <dataValidation operator="lessThanOrEqual" allowBlank="1" showErrorMessage="1" prompt="Rövid, tömör leírást kérünk adni a projekt megvalósításához szükséges engedélyekről. _x000a_" sqref="B92" xr:uid="{00000000-0002-0000-0500-000000000000}"/>
    <dataValidation allowBlank="1" sqref="K74:K75" xr:uid="{00000000-0002-0000-0500-000003000000}"/>
    <dataValidation type="whole" allowBlank="1" showInputMessage="1" showErrorMessage="1" sqref="L74" xr:uid="{00000000-0002-0000-0500-000006000000}">
      <formula1>0</formula1>
      <formula2>100000000</formula2>
    </dataValidation>
    <dataValidation type="whole" allowBlank="1" showInputMessage="1" showErrorMessage="1" sqref="L51 K88 I88 K76:K85 K47:K73" xr:uid="{00000000-0002-0000-0500-000007000000}">
      <formula1>0</formula1>
      <formula2>10000000000</formula2>
    </dataValidation>
    <dataValidation type="decimal" allowBlank="1" showInputMessage="1" showErrorMessage="1" sqref="L47 L84 L82 I74:I75 G47:G85" xr:uid="{00000000-0002-0000-0500-000008000000}">
      <formula1>0</formula1>
      <formula2>10000000000</formula2>
    </dataValidation>
    <dataValidation type="list" allowBlank="1" showInputMessage="1" showErrorMessage="1" sqref="D33:E33 L97:L99 L102:L104" xr:uid="{00000000-0002-0000-0500-000009000000}">
      <formula1>"Igen,Nem"</formula1>
    </dataValidation>
    <dataValidation type="list" allowBlank="1" showInputMessage="1" showErrorMessage="1" sqref="L100:L102" xr:uid="{00000000-0002-0000-0500-00000A000000}">
      <formula1>"Igen,Nem, Nem releváns"</formula1>
    </dataValidation>
    <dataValidation type="decimal" allowBlank="1" showInputMessage="1" showErrorMessage="1" sqref="E49:E83" xr:uid="{00000000-0002-0000-0500-000001000000}">
      <formula1>0</formula1>
      <formula2>1000000000</formula2>
    </dataValidation>
  </dataValidations>
  <printOptions horizontalCentered="1"/>
  <pageMargins left="0.31496062992125984" right="0.31496062992125984" top="0.47244094488188981" bottom="0.35433070866141736" header="0.31496062992125984" footer="0.31496062992125984"/>
  <pageSetup paperSize="9" scale="63" fitToHeight="0" orientation="portrait" r:id="rId1"/>
  <headerFooter>
    <oddHeader>&amp;LMFB Zrt.&amp;C&amp;9KEHOP Plusz-4.1.7-24 OTTHONFELÚJÍTÁSI HITELPROGRAM - Vállalkozói szerződés&amp;R&amp;P.oldal</oddHeader>
  </headerFooter>
  <rowBreaks count="2" manualBreakCount="2">
    <brk id="43" max="16383" man="1"/>
    <brk id="89" max="16383" man="1"/>
  </rowBreaks>
  <extLst>
    <ext xmlns:x14="http://schemas.microsoft.com/office/spreadsheetml/2009/9/main" uri="{78C0D931-6437-407d-A8EE-F0AAD7539E65}">
      <x14:conditionalFormattings>
        <x14:conditionalFormatting xmlns:xm="http://schemas.microsoft.com/office/excel/2006/main">
          <x14:cfRule type="expression" priority="1" id="{DC74886F-648F-4FB7-8F0F-AE1CBE931038}">
            <xm:f>'01_Költségvetés'!$N$5&lt;&gt;"Igen"</xm:f>
            <x14:dxf>
              <fill>
                <patternFill patternType="gray0625">
                  <bgColor theme="0"/>
                </patternFill>
              </fill>
            </x14:dxf>
          </x14:cfRule>
          <xm:sqref>E49:E50</xm:sqref>
        </x14:conditionalFormatting>
        <x14:conditionalFormatting xmlns:xm="http://schemas.microsoft.com/office/excel/2006/main">
          <x14:cfRule type="expression" priority="78" id="{31318ADD-1B84-44E4-A633-AD4FD76812A1}">
            <xm:f>'01_Költségvetés'!$N$6&lt;&gt;"Igen"</xm:f>
            <x14:dxf>
              <fill>
                <patternFill patternType="gray0625">
                  <bgColor theme="0"/>
                </patternFill>
              </fill>
            </x14:dxf>
          </x14:cfRule>
          <xm:sqref>E51:E73 G51:J73</xm:sqref>
        </x14:conditionalFormatting>
        <x14:conditionalFormatting xmlns:xm="http://schemas.microsoft.com/office/excel/2006/main">
          <x14:cfRule type="expression" priority="77" id="{99DECA22-5F6A-47BA-A101-2E03343CDB39}">
            <xm:f>'01_Költségvetés'!$N$7&lt;&gt;"Igen"</xm:f>
            <x14:dxf>
              <fill>
                <patternFill patternType="gray0625">
                  <fgColor auto="1"/>
                  <bgColor theme="0"/>
                </patternFill>
              </fill>
            </x14:dxf>
          </x14:cfRule>
          <xm:sqref>E74:E81 G74:J81</xm:sqref>
        </x14:conditionalFormatting>
        <x14:conditionalFormatting xmlns:xm="http://schemas.microsoft.com/office/excel/2006/main">
          <x14:cfRule type="expression" priority="76" id="{F7B0CCE1-FE18-4570-A226-FA45B41A8E72}">
            <xm:f>'01_Költségvetés'!$N$8&lt;&gt;"Igen"</xm:f>
            <x14:dxf>
              <fill>
                <patternFill patternType="gray0625">
                  <bgColor theme="0"/>
                </patternFill>
              </fill>
            </x14:dxf>
          </x14:cfRule>
          <xm:sqref>E82:E83 G82:J85</xm:sqref>
        </x14:conditionalFormatting>
        <x14:conditionalFormatting xmlns:xm="http://schemas.microsoft.com/office/excel/2006/main">
          <x14:cfRule type="expression" priority="79" id="{369EF10D-1B76-45A6-B710-127C562A8242}">
            <xm:f>'01_Költségvetés'!$N$5&lt;&gt;"Igen"</xm:f>
            <x14:dxf>
              <fill>
                <patternFill patternType="gray0625">
                  <bgColor theme="0"/>
                </patternFill>
              </fill>
            </x14:dxf>
          </x14:cfRule>
          <xm:sqref>G47:J50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M71"/>
  <sheetViews>
    <sheetView showGridLines="0" zoomScaleNormal="100" zoomScaleSheetLayoutView="96" workbookViewId="0">
      <pane ySplit="8" topLeftCell="A9" activePane="bottomLeft" state="frozenSplit"/>
      <selection pane="bottomLeft" activeCell="J9" sqref="J9"/>
    </sheetView>
  </sheetViews>
  <sheetFormatPr defaultColWidth="0" defaultRowHeight="0" customHeight="1" zeroHeight="1" x14ac:dyDescent="0.35"/>
  <cols>
    <col min="1" max="1" width="1.453125" style="2" customWidth="1"/>
    <col min="2" max="2" width="27" style="2" customWidth="1"/>
    <col min="3" max="3" width="31.81640625" style="2" customWidth="1"/>
    <col min="4" max="4" width="13.54296875" style="2" customWidth="1"/>
    <col min="5" max="5" width="9.54296875" style="2" customWidth="1"/>
    <col min="6" max="6" width="7.81640625" style="2" customWidth="1"/>
    <col min="7" max="10" width="13.54296875" style="2" customWidth="1"/>
    <col min="11" max="12" width="12.26953125" style="2" customWidth="1"/>
    <col min="13" max="13" width="1" style="2" customWidth="1"/>
    <col min="14" max="14" width="9.1796875" style="2" hidden="1" customWidth="1"/>
    <col min="15" max="15" width="22.7265625" style="2" hidden="1" customWidth="1"/>
    <col min="16" max="16" width="24" style="2" hidden="1" customWidth="1"/>
    <col min="17" max="31" width="9.1796875" style="2" hidden="1" customWidth="1"/>
    <col min="32" max="32" width="52.7265625" style="2" hidden="1" customWidth="1"/>
    <col min="33" max="33" width="7" style="2" hidden="1" customWidth="1"/>
    <col min="34" max="34" width="52.7265625" style="2" hidden="1" customWidth="1"/>
    <col min="35" max="35" width="7" style="2" hidden="1" customWidth="1"/>
    <col min="36" max="36" width="52.7265625" style="2" hidden="1" customWidth="1"/>
    <col min="37" max="37" width="7" style="2" hidden="1" customWidth="1"/>
    <col min="38" max="38" width="52.7265625" style="2" hidden="1" customWidth="1"/>
    <col min="39" max="39" width="7" style="2" hidden="1" customWidth="1"/>
    <col min="40" max="16384" width="8.81640625" style="2" hidden="1"/>
  </cols>
  <sheetData>
    <row r="1" spans="2:13" ht="45.65" customHeight="1" x14ac:dyDescent="0.55000000000000004">
      <c r="E1" s="304" t="s">
        <v>228</v>
      </c>
      <c r="F1" s="304"/>
      <c r="G1" s="304"/>
      <c r="H1" s="304"/>
      <c r="I1" s="304"/>
      <c r="J1" s="304"/>
      <c r="K1" s="304"/>
      <c r="L1" s="304"/>
    </row>
    <row r="2" spans="2:13" ht="14.5" customHeight="1" x14ac:dyDescent="0.35">
      <c r="G2" s="9"/>
      <c r="H2" s="9"/>
      <c r="I2" s="9"/>
      <c r="J2" s="9"/>
      <c r="K2" s="416" t="s">
        <v>112</v>
      </c>
      <c r="L2" s="416"/>
    </row>
    <row r="3" spans="2:13" ht="14.5" customHeight="1" x14ac:dyDescent="0.35">
      <c r="G3" s="9"/>
      <c r="H3" s="9"/>
      <c r="I3" s="9"/>
      <c r="J3" s="9"/>
      <c r="K3" s="41" t="s">
        <v>14</v>
      </c>
      <c r="L3" s="38" t="str">
        <f>+'01_Költségvetés'!N3</f>
        <v>2025.10.15-től</v>
      </c>
    </row>
    <row r="4" spans="2:13" s="74" customFormat="1" ht="17.5" customHeight="1" x14ac:dyDescent="0.35">
      <c r="B4" s="412" t="s">
        <v>6</v>
      </c>
      <c r="C4" s="412"/>
      <c r="D4" s="417" t="str" cm="1">
        <f t="array" ref="D4">IF(ISBLANK('01_Költségvetés'!D5:D5),"",'01_Költségvetés'!D5:D5)</f>
        <v/>
      </c>
      <c r="E4" s="417"/>
      <c r="F4" s="417"/>
      <c r="G4" s="417"/>
      <c r="H4" s="98"/>
      <c r="I4" s="99"/>
      <c r="J4" s="99"/>
      <c r="K4" s="99"/>
      <c r="L4" s="99"/>
    </row>
    <row r="5" spans="2:13" s="74" customFormat="1" ht="17.5" customHeight="1" x14ac:dyDescent="0.35">
      <c r="B5" s="412" t="s">
        <v>103</v>
      </c>
      <c r="C5" s="412"/>
      <c r="D5" s="413" t="str" cm="1">
        <f t="array" ref="D5">IF(ISBLANK('01_Költségvetés'!D6:D6),"",'01_Költségvetés'!D6:D6)</f>
        <v/>
      </c>
      <c r="E5" s="413"/>
      <c r="F5" s="413"/>
      <c r="G5" s="413"/>
      <c r="H5" s="98"/>
      <c r="I5" s="99"/>
      <c r="J5" s="99"/>
      <c r="K5" s="99"/>
      <c r="L5" s="99"/>
    </row>
    <row r="6" spans="2:13" s="74" customFormat="1" ht="6" customHeight="1" thickBot="1" x14ac:dyDescent="0.4">
      <c r="B6" s="100"/>
      <c r="C6" s="100"/>
      <c r="E6" s="101"/>
      <c r="F6" s="101"/>
      <c r="G6" s="101"/>
      <c r="H6" s="101"/>
      <c r="I6" s="101"/>
      <c r="J6" s="101"/>
      <c r="K6" s="101"/>
      <c r="L6" s="101"/>
    </row>
    <row r="7" spans="2:13" s="76" customFormat="1" ht="26.15" customHeight="1" x14ac:dyDescent="0.3">
      <c r="B7" s="317" t="s">
        <v>3</v>
      </c>
      <c r="C7" s="318"/>
      <c r="D7" s="318"/>
      <c r="E7" s="321" t="s">
        <v>69</v>
      </c>
      <c r="F7" s="224" t="s">
        <v>4</v>
      </c>
      <c r="G7" s="226" t="s">
        <v>59</v>
      </c>
      <c r="H7" s="226"/>
      <c r="I7" s="226" t="s">
        <v>231</v>
      </c>
      <c r="J7" s="226"/>
      <c r="K7" s="226" t="s">
        <v>232</v>
      </c>
      <c r="L7" s="226"/>
      <c r="M7" s="78"/>
    </row>
    <row r="8" spans="2:13" s="76" customFormat="1" ht="19" customHeight="1" thickBot="1" x14ac:dyDescent="0.35">
      <c r="B8" s="319"/>
      <c r="C8" s="320"/>
      <c r="D8" s="320"/>
      <c r="E8" s="322"/>
      <c r="F8" s="225"/>
      <c r="G8" s="58" t="s">
        <v>10</v>
      </c>
      <c r="H8" s="58" t="s">
        <v>11</v>
      </c>
      <c r="I8" s="58" t="s">
        <v>10</v>
      </c>
      <c r="J8" s="58" t="s">
        <v>11</v>
      </c>
      <c r="K8" s="228"/>
      <c r="L8" s="228"/>
      <c r="M8" s="78"/>
    </row>
    <row r="9" spans="2:13" s="78" customFormat="1" ht="29.15" customHeight="1" x14ac:dyDescent="0.35">
      <c r="B9" s="251" t="s">
        <v>168</v>
      </c>
      <c r="C9" s="254" t="s">
        <v>169</v>
      </c>
      <c r="D9" s="254"/>
      <c r="E9" s="117"/>
      <c r="F9" s="117"/>
      <c r="G9" s="118"/>
      <c r="H9" s="118"/>
      <c r="I9" s="180"/>
      <c r="J9" s="180"/>
      <c r="K9" s="47">
        <f>IFERROR(J9,)</f>
        <v>0</v>
      </c>
      <c r="L9" s="255">
        <f>SUM(K9:K11)</f>
        <v>0</v>
      </c>
    </row>
    <row r="10" spans="2:13" s="78" customFormat="1" ht="27.65" customHeight="1" x14ac:dyDescent="0.35">
      <c r="B10" s="252"/>
      <c r="C10" s="222" t="s">
        <v>170</v>
      </c>
      <c r="D10" s="222"/>
      <c r="E10" s="119"/>
      <c r="F10" s="119"/>
      <c r="G10" s="120"/>
      <c r="H10" s="120"/>
      <c r="I10" s="175"/>
      <c r="J10" s="175"/>
      <c r="K10" s="51">
        <f t="shared" ref="K10:K11" si="0">IFERROR(J10,)</f>
        <v>0</v>
      </c>
      <c r="L10" s="256"/>
    </row>
    <row r="11" spans="2:13" s="78" customFormat="1" ht="20.149999999999999" customHeight="1" thickBot="1" x14ac:dyDescent="0.4">
      <c r="B11" s="253"/>
      <c r="C11" s="227" t="s">
        <v>189</v>
      </c>
      <c r="D11" s="227"/>
      <c r="E11" s="121"/>
      <c r="F11" s="121"/>
      <c r="G11" s="122"/>
      <c r="H11" s="122"/>
      <c r="I11" s="176"/>
      <c r="J11" s="176"/>
      <c r="K11" s="56">
        <f t="shared" si="0"/>
        <v>0</v>
      </c>
      <c r="L11" s="257"/>
    </row>
    <row r="12" spans="2:13" s="78" customFormat="1" ht="15.5" x14ac:dyDescent="0.35">
      <c r="B12" s="289" t="s">
        <v>167</v>
      </c>
      <c r="C12" s="290"/>
      <c r="D12" s="290"/>
      <c r="E12" s="290"/>
      <c r="F12" s="290"/>
      <c r="G12" s="290"/>
      <c r="H12" s="290"/>
      <c r="I12" s="290"/>
      <c r="J12" s="291"/>
      <c r="K12" s="414">
        <f>SUM(K14:K52)</f>
        <v>0</v>
      </c>
      <c r="L12" s="414"/>
    </row>
    <row r="13" spans="2:13" s="78" customFormat="1" ht="15.5" x14ac:dyDescent="0.35">
      <c r="B13" s="219" t="s">
        <v>183</v>
      </c>
      <c r="C13" s="220"/>
      <c r="D13" s="220"/>
      <c r="E13" s="220"/>
      <c r="F13" s="220"/>
      <c r="G13" s="220"/>
      <c r="H13" s="220"/>
      <c r="I13" s="220"/>
      <c r="J13" s="221"/>
      <c r="K13" s="415">
        <f>SUM(K14:K52)</f>
        <v>0</v>
      </c>
      <c r="L13" s="415"/>
    </row>
    <row r="14" spans="2:13" s="78" customFormat="1" ht="17.149999999999999" customHeight="1" x14ac:dyDescent="0.35">
      <c r="B14" s="237" t="s">
        <v>165</v>
      </c>
      <c r="C14" s="222" t="s">
        <v>99</v>
      </c>
      <c r="D14" s="222"/>
      <c r="E14" s="222"/>
      <c r="F14" s="222"/>
      <c r="G14" s="175"/>
      <c r="H14" s="175"/>
      <c r="I14" s="123"/>
      <c r="J14" s="123"/>
      <c r="K14" s="51">
        <f t="shared" ref="K14:K55" si="1">IFERROR(H14+J14,)</f>
        <v>0</v>
      </c>
      <c r="L14" s="231">
        <f>SUM(K14:K17)</f>
        <v>0</v>
      </c>
    </row>
    <row r="15" spans="2:13" s="78" customFormat="1" ht="17.149999999999999" customHeight="1" x14ac:dyDescent="0.35">
      <c r="B15" s="238"/>
      <c r="C15" s="222" t="s">
        <v>100</v>
      </c>
      <c r="D15" s="222"/>
      <c r="E15" s="222"/>
      <c r="F15" s="222"/>
      <c r="G15" s="175"/>
      <c r="H15" s="175"/>
      <c r="I15" s="123"/>
      <c r="J15" s="123"/>
      <c r="K15" s="51">
        <f t="shared" si="1"/>
        <v>0</v>
      </c>
      <c r="L15" s="232"/>
    </row>
    <row r="16" spans="2:13" s="78" customFormat="1" ht="17.149999999999999" customHeight="1" x14ac:dyDescent="0.35">
      <c r="B16" s="238"/>
      <c r="C16" s="212" t="s">
        <v>235</v>
      </c>
      <c r="D16" s="170" t="s">
        <v>236</v>
      </c>
      <c r="E16" s="115">
        <f>+'01_Költségvetés'!E19</f>
        <v>0</v>
      </c>
      <c r="F16" s="62" t="s">
        <v>155</v>
      </c>
      <c r="G16" s="175"/>
      <c r="H16" s="175"/>
      <c r="I16" s="123"/>
      <c r="J16" s="123"/>
      <c r="K16" s="51">
        <f t="shared" si="1"/>
        <v>0</v>
      </c>
      <c r="L16" s="232"/>
    </row>
    <row r="17" spans="2:12" s="78" customFormat="1" ht="22.5" customHeight="1" x14ac:dyDescent="0.35">
      <c r="B17" s="239"/>
      <c r="C17" s="213"/>
      <c r="D17" s="171" t="s">
        <v>237</v>
      </c>
      <c r="E17" s="115">
        <f>+'01_Költségvetés'!E20</f>
        <v>0</v>
      </c>
      <c r="F17" s="62" t="s">
        <v>155</v>
      </c>
      <c r="G17" s="175"/>
      <c r="H17" s="175"/>
      <c r="I17" s="123"/>
      <c r="J17" s="123"/>
      <c r="K17" s="51">
        <f t="shared" si="1"/>
        <v>0</v>
      </c>
      <c r="L17" s="233"/>
    </row>
    <row r="18" spans="2:12" s="78" customFormat="1" ht="17.149999999999999" customHeight="1" x14ac:dyDescent="0.35">
      <c r="B18" s="268" t="s">
        <v>175</v>
      </c>
      <c r="C18" s="222" t="s">
        <v>82</v>
      </c>
      <c r="D18" s="61" t="s">
        <v>77</v>
      </c>
      <c r="E18" s="115">
        <f>+'01_Költségvetés'!E21</f>
        <v>0</v>
      </c>
      <c r="F18" s="62" t="s">
        <v>155</v>
      </c>
      <c r="G18" s="175"/>
      <c r="H18" s="175"/>
      <c r="I18" s="123"/>
      <c r="J18" s="123"/>
      <c r="K18" s="51">
        <f t="shared" si="1"/>
        <v>0</v>
      </c>
      <c r="L18" s="256">
        <f>SUM(K18:K40)</f>
        <v>0</v>
      </c>
    </row>
    <row r="19" spans="2:12" s="78" customFormat="1" ht="17.149999999999999" customHeight="1" x14ac:dyDescent="0.35">
      <c r="B19" s="268"/>
      <c r="C19" s="222"/>
      <c r="D19" s="63" t="s">
        <v>78</v>
      </c>
      <c r="E19" s="115">
        <f>+'01_Költségvetés'!E22</f>
        <v>0</v>
      </c>
      <c r="F19" s="62" t="s">
        <v>155</v>
      </c>
      <c r="G19" s="175"/>
      <c r="H19" s="175"/>
      <c r="I19" s="123"/>
      <c r="J19" s="123"/>
      <c r="K19" s="51">
        <f t="shared" si="1"/>
        <v>0</v>
      </c>
      <c r="L19" s="256"/>
    </row>
    <row r="20" spans="2:12" s="78" customFormat="1" ht="17.149999999999999" customHeight="1" x14ac:dyDescent="0.35">
      <c r="B20" s="268"/>
      <c r="C20" s="222"/>
      <c r="D20" s="63" t="s">
        <v>79</v>
      </c>
      <c r="E20" s="115">
        <f>+'01_Költségvetés'!E23</f>
        <v>0</v>
      </c>
      <c r="F20" s="62" t="s">
        <v>155</v>
      </c>
      <c r="G20" s="175"/>
      <c r="H20" s="175"/>
      <c r="I20" s="123"/>
      <c r="J20" s="123"/>
      <c r="K20" s="51">
        <f t="shared" si="1"/>
        <v>0</v>
      </c>
      <c r="L20" s="256"/>
    </row>
    <row r="21" spans="2:12" s="78" customFormat="1" ht="17.149999999999999" customHeight="1" x14ac:dyDescent="0.35">
      <c r="B21" s="268"/>
      <c r="C21" s="222" t="s">
        <v>83</v>
      </c>
      <c r="D21" s="61" t="s">
        <v>77</v>
      </c>
      <c r="E21" s="115">
        <f>+'01_Költségvetés'!E24</f>
        <v>0</v>
      </c>
      <c r="F21" s="62" t="s">
        <v>155</v>
      </c>
      <c r="G21" s="175"/>
      <c r="H21" s="175"/>
      <c r="I21" s="123"/>
      <c r="J21" s="123"/>
      <c r="K21" s="51">
        <f t="shared" si="1"/>
        <v>0</v>
      </c>
      <c r="L21" s="256"/>
    </row>
    <row r="22" spans="2:12" s="78" customFormat="1" ht="17.149999999999999" customHeight="1" x14ac:dyDescent="0.35">
      <c r="B22" s="268"/>
      <c r="C22" s="222"/>
      <c r="D22" s="63" t="s">
        <v>78</v>
      </c>
      <c r="E22" s="115">
        <f>+'01_Költségvetés'!E25</f>
        <v>0</v>
      </c>
      <c r="F22" s="62" t="s">
        <v>155</v>
      </c>
      <c r="G22" s="175"/>
      <c r="H22" s="175"/>
      <c r="I22" s="123"/>
      <c r="J22" s="123"/>
      <c r="K22" s="51">
        <f t="shared" si="1"/>
        <v>0</v>
      </c>
      <c r="L22" s="256"/>
    </row>
    <row r="23" spans="2:12" s="78" customFormat="1" ht="17.149999999999999" customHeight="1" x14ac:dyDescent="0.35">
      <c r="B23" s="268"/>
      <c r="C23" s="222"/>
      <c r="D23" s="63" t="s">
        <v>79</v>
      </c>
      <c r="E23" s="115">
        <f>+'01_Költségvetés'!E26</f>
        <v>0</v>
      </c>
      <c r="F23" s="62" t="s">
        <v>155</v>
      </c>
      <c r="G23" s="175"/>
      <c r="H23" s="175"/>
      <c r="I23" s="123"/>
      <c r="J23" s="123"/>
      <c r="K23" s="51">
        <f t="shared" si="1"/>
        <v>0</v>
      </c>
      <c r="L23" s="256"/>
    </row>
    <row r="24" spans="2:12" s="78" customFormat="1" ht="17.149999999999999" customHeight="1" x14ac:dyDescent="0.35">
      <c r="B24" s="268"/>
      <c r="C24" s="222" t="s">
        <v>84</v>
      </c>
      <c r="D24" s="61" t="s">
        <v>77</v>
      </c>
      <c r="E24" s="115">
        <f>+'01_Költségvetés'!E27</f>
        <v>0</v>
      </c>
      <c r="F24" s="62" t="s">
        <v>155</v>
      </c>
      <c r="G24" s="175"/>
      <c r="H24" s="175"/>
      <c r="I24" s="123"/>
      <c r="J24" s="123"/>
      <c r="K24" s="51">
        <f t="shared" si="1"/>
        <v>0</v>
      </c>
      <c r="L24" s="256"/>
    </row>
    <row r="25" spans="2:12" s="78" customFormat="1" ht="17.149999999999999" customHeight="1" x14ac:dyDescent="0.35">
      <c r="B25" s="268"/>
      <c r="C25" s="222"/>
      <c r="D25" s="63" t="s">
        <v>78</v>
      </c>
      <c r="E25" s="115">
        <f>+'01_Költségvetés'!E28</f>
        <v>0</v>
      </c>
      <c r="F25" s="62" t="s">
        <v>155</v>
      </c>
      <c r="G25" s="175"/>
      <c r="H25" s="175"/>
      <c r="I25" s="123"/>
      <c r="J25" s="123"/>
      <c r="K25" s="51">
        <f t="shared" si="1"/>
        <v>0</v>
      </c>
      <c r="L25" s="256"/>
    </row>
    <row r="26" spans="2:12" s="78" customFormat="1" ht="17.149999999999999" customHeight="1" x14ac:dyDescent="0.35">
      <c r="B26" s="268"/>
      <c r="C26" s="222"/>
      <c r="D26" s="63" t="s">
        <v>79</v>
      </c>
      <c r="E26" s="115">
        <f>+'01_Költségvetés'!E29</f>
        <v>0</v>
      </c>
      <c r="F26" s="62" t="s">
        <v>155</v>
      </c>
      <c r="G26" s="175"/>
      <c r="H26" s="175"/>
      <c r="I26" s="123"/>
      <c r="J26" s="123"/>
      <c r="K26" s="51">
        <f t="shared" si="1"/>
        <v>0</v>
      </c>
      <c r="L26" s="256"/>
    </row>
    <row r="27" spans="2:12" s="78" customFormat="1" ht="17.149999999999999" customHeight="1" x14ac:dyDescent="0.35">
      <c r="B27" s="268"/>
      <c r="C27" s="222" t="s">
        <v>88</v>
      </c>
      <c r="D27" s="61" t="s">
        <v>85</v>
      </c>
      <c r="E27" s="115">
        <f>+'01_Költségvetés'!E30</f>
        <v>0</v>
      </c>
      <c r="F27" s="62" t="s">
        <v>155</v>
      </c>
      <c r="G27" s="175"/>
      <c r="H27" s="175"/>
      <c r="I27" s="123"/>
      <c r="J27" s="123"/>
      <c r="K27" s="51">
        <f t="shared" si="1"/>
        <v>0</v>
      </c>
      <c r="L27" s="256"/>
    </row>
    <row r="28" spans="2:12" s="78" customFormat="1" ht="17.149999999999999" customHeight="1" x14ac:dyDescent="0.35">
      <c r="B28" s="268"/>
      <c r="C28" s="222"/>
      <c r="D28" s="63" t="s">
        <v>86</v>
      </c>
      <c r="E28" s="115">
        <f>+'01_Költségvetés'!E31</f>
        <v>0</v>
      </c>
      <c r="F28" s="62" t="s">
        <v>155</v>
      </c>
      <c r="G28" s="175"/>
      <c r="H28" s="175"/>
      <c r="I28" s="123"/>
      <c r="J28" s="123"/>
      <c r="K28" s="51">
        <f t="shared" si="1"/>
        <v>0</v>
      </c>
      <c r="L28" s="256"/>
    </row>
    <row r="29" spans="2:12" s="78" customFormat="1" ht="17.149999999999999" customHeight="1" x14ac:dyDescent="0.35">
      <c r="B29" s="268"/>
      <c r="C29" s="222"/>
      <c r="D29" s="63" t="s">
        <v>87</v>
      </c>
      <c r="E29" s="115">
        <f>+'01_Költségvetés'!E32</f>
        <v>0</v>
      </c>
      <c r="F29" s="62" t="s">
        <v>155</v>
      </c>
      <c r="G29" s="175"/>
      <c r="H29" s="175"/>
      <c r="I29" s="123"/>
      <c r="J29" s="123"/>
      <c r="K29" s="51">
        <f t="shared" si="1"/>
        <v>0</v>
      </c>
      <c r="L29" s="256"/>
    </row>
    <row r="30" spans="2:12" s="78" customFormat="1" ht="17.149999999999999" customHeight="1" x14ac:dyDescent="0.35">
      <c r="B30" s="268"/>
      <c r="C30" s="222" t="s">
        <v>91</v>
      </c>
      <c r="D30" s="61" t="s">
        <v>89</v>
      </c>
      <c r="E30" s="115">
        <f>+'01_Költségvetés'!E33</f>
        <v>0</v>
      </c>
      <c r="F30" s="62" t="s">
        <v>155</v>
      </c>
      <c r="G30" s="175"/>
      <c r="H30" s="175"/>
      <c r="I30" s="123"/>
      <c r="J30" s="123"/>
      <c r="K30" s="51">
        <f t="shared" si="1"/>
        <v>0</v>
      </c>
      <c r="L30" s="256"/>
    </row>
    <row r="31" spans="2:12" s="78" customFormat="1" ht="17.149999999999999" customHeight="1" x14ac:dyDescent="0.35">
      <c r="B31" s="268"/>
      <c r="C31" s="222"/>
      <c r="D31" s="63" t="s">
        <v>90</v>
      </c>
      <c r="E31" s="115">
        <f>+'01_Költségvetés'!E34</f>
        <v>0</v>
      </c>
      <c r="F31" s="62" t="s">
        <v>155</v>
      </c>
      <c r="G31" s="175"/>
      <c r="H31" s="175"/>
      <c r="I31" s="123"/>
      <c r="J31" s="123"/>
      <c r="K31" s="51">
        <f t="shared" si="1"/>
        <v>0</v>
      </c>
      <c r="L31" s="256"/>
    </row>
    <row r="32" spans="2:12" s="78" customFormat="1" ht="17.149999999999999" customHeight="1" x14ac:dyDescent="0.35">
      <c r="B32" s="268"/>
      <c r="C32" s="222" t="s">
        <v>92</v>
      </c>
      <c r="D32" s="61" t="s">
        <v>89</v>
      </c>
      <c r="E32" s="115">
        <f>+'01_Költségvetés'!E35</f>
        <v>0</v>
      </c>
      <c r="F32" s="62" t="s">
        <v>155</v>
      </c>
      <c r="G32" s="175"/>
      <c r="H32" s="175"/>
      <c r="I32" s="123"/>
      <c r="J32" s="123"/>
      <c r="K32" s="51">
        <f t="shared" si="1"/>
        <v>0</v>
      </c>
      <c r="L32" s="256"/>
    </row>
    <row r="33" spans="2:12" s="78" customFormat="1" ht="17.149999999999999" customHeight="1" x14ac:dyDescent="0.35">
      <c r="B33" s="268"/>
      <c r="C33" s="222"/>
      <c r="D33" s="63" t="s">
        <v>90</v>
      </c>
      <c r="E33" s="115">
        <f>+'01_Költségvetés'!E36</f>
        <v>0</v>
      </c>
      <c r="F33" s="62" t="s">
        <v>155</v>
      </c>
      <c r="G33" s="175"/>
      <c r="H33" s="175"/>
      <c r="I33" s="123"/>
      <c r="J33" s="123"/>
      <c r="K33" s="51">
        <f t="shared" si="1"/>
        <v>0</v>
      </c>
      <c r="L33" s="256"/>
    </row>
    <row r="34" spans="2:12" s="78" customFormat="1" ht="17.149999999999999" customHeight="1" x14ac:dyDescent="0.35">
      <c r="B34" s="268"/>
      <c r="C34" s="222" t="s">
        <v>95</v>
      </c>
      <c r="D34" s="61" t="s">
        <v>93</v>
      </c>
      <c r="E34" s="115">
        <f>+'01_Költségvetés'!E37</f>
        <v>0</v>
      </c>
      <c r="F34" s="62" t="s">
        <v>155</v>
      </c>
      <c r="G34" s="175"/>
      <c r="H34" s="175"/>
      <c r="I34" s="123"/>
      <c r="J34" s="123"/>
      <c r="K34" s="51">
        <f t="shared" si="1"/>
        <v>0</v>
      </c>
      <c r="L34" s="256"/>
    </row>
    <row r="35" spans="2:12" s="78" customFormat="1" ht="17.149999999999999" customHeight="1" x14ac:dyDescent="0.35">
      <c r="B35" s="268"/>
      <c r="C35" s="222"/>
      <c r="D35" s="63" t="s">
        <v>94</v>
      </c>
      <c r="E35" s="115">
        <f>+'01_Költségvetés'!E38</f>
        <v>0</v>
      </c>
      <c r="F35" s="62" t="s">
        <v>155</v>
      </c>
      <c r="G35" s="175"/>
      <c r="H35" s="175"/>
      <c r="I35" s="123"/>
      <c r="J35" s="123"/>
      <c r="K35" s="51">
        <f t="shared" si="1"/>
        <v>0</v>
      </c>
      <c r="L35" s="256"/>
    </row>
    <row r="36" spans="2:12" s="78" customFormat="1" ht="17.149999999999999" customHeight="1" x14ac:dyDescent="0.35">
      <c r="B36" s="268"/>
      <c r="C36" s="293" t="s">
        <v>96</v>
      </c>
      <c r="D36" s="61" t="s">
        <v>77</v>
      </c>
      <c r="E36" s="115">
        <f>+'01_Költségvetés'!E39</f>
        <v>0</v>
      </c>
      <c r="F36" s="62" t="s">
        <v>155</v>
      </c>
      <c r="G36" s="175"/>
      <c r="H36" s="175"/>
      <c r="I36" s="123"/>
      <c r="J36" s="123"/>
      <c r="K36" s="51">
        <f t="shared" si="1"/>
        <v>0</v>
      </c>
      <c r="L36" s="256"/>
    </row>
    <row r="37" spans="2:12" s="78" customFormat="1" ht="17.149999999999999" customHeight="1" x14ac:dyDescent="0.35">
      <c r="B37" s="268"/>
      <c r="C37" s="293"/>
      <c r="D37" s="63" t="s">
        <v>78</v>
      </c>
      <c r="E37" s="115">
        <f>+'01_Költségvetés'!E40</f>
        <v>0</v>
      </c>
      <c r="F37" s="62" t="s">
        <v>155</v>
      </c>
      <c r="G37" s="175"/>
      <c r="H37" s="175"/>
      <c r="I37" s="123"/>
      <c r="J37" s="123"/>
      <c r="K37" s="51">
        <f t="shared" si="1"/>
        <v>0</v>
      </c>
      <c r="L37" s="256"/>
    </row>
    <row r="38" spans="2:12" s="78" customFormat="1" ht="17.149999999999999" customHeight="1" x14ac:dyDescent="0.35">
      <c r="B38" s="268"/>
      <c r="C38" s="293"/>
      <c r="D38" s="63" t="s">
        <v>79</v>
      </c>
      <c r="E38" s="115">
        <f>+'01_Költségvetés'!E41</f>
        <v>0</v>
      </c>
      <c r="F38" s="62" t="s">
        <v>155</v>
      </c>
      <c r="G38" s="175"/>
      <c r="H38" s="175"/>
      <c r="I38" s="123"/>
      <c r="J38" s="123"/>
      <c r="K38" s="51">
        <f t="shared" si="1"/>
        <v>0</v>
      </c>
      <c r="L38" s="256"/>
    </row>
    <row r="39" spans="2:12" s="78" customFormat="1" ht="17.149999999999999" customHeight="1" x14ac:dyDescent="0.35">
      <c r="B39" s="268"/>
      <c r="C39" s="293" t="s">
        <v>98</v>
      </c>
      <c r="D39" s="61" t="s">
        <v>97</v>
      </c>
      <c r="E39" s="115">
        <f>+'01_Költségvetés'!E42</f>
        <v>0</v>
      </c>
      <c r="F39" s="62" t="s">
        <v>155</v>
      </c>
      <c r="G39" s="175"/>
      <c r="H39" s="175"/>
      <c r="I39" s="123"/>
      <c r="J39" s="123"/>
      <c r="K39" s="51">
        <f t="shared" si="1"/>
        <v>0</v>
      </c>
      <c r="L39" s="256"/>
    </row>
    <row r="40" spans="2:12" s="78" customFormat="1" ht="17.149999999999999" customHeight="1" x14ac:dyDescent="0.35">
      <c r="B40" s="268"/>
      <c r="C40" s="293"/>
      <c r="D40" s="64" t="s">
        <v>79</v>
      </c>
      <c r="E40" s="115">
        <f>+'01_Költségvetés'!E43</f>
        <v>0</v>
      </c>
      <c r="F40" s="62" t="s">
        <v>155</v>
      </c>
      <c r="G40" s="175"/>
      <c r="H40" s="175"/>
      <c r="I40" s="123"/>
      <c r="J40" s="123"/>
      <c r="K40" s="51">
        <f t="shared" si="1"/>
        <v>0</v>
      </c>
      <c r="L40" s="256"/>
    </row>
    <row r="41" spans="2:12" s="78" customFormat="1" ht="18.649999999999999" customHeight="1" x14ac:dyDescent="0.35">
      <c r="B41" s="229" t="s">
        <v>177</v>
      </c>
      <c r="C41" s="294" t="s">
        <v>80</v>
      </c>
      <c r="D41" s="63" t="s">
        <v>74</v>
      </c>
      <c r="E41" s="115">
        <f>+'01_Költségvetés'!E44</f>
        <v>0</v>
      </c>
      <c r="F41" s="62" t="s">
        <v>155</v>
      </c>
      <c r="G41" s="175"/>
      <c r="H41" s="175"/>
      <c r="I41" s="123"/>
      <c r="J41" s="123"/>
      <c r="K41" s="51">
        <f t="shared" si="1"/>
        <v>0</v>
      </c>
      <c r="L41" s="231">
        <f>SUM(K41:K48)</f>
        <v>0</v>
      </c>
    </row>
    <row r="42" spans="2:12" s="78" customFormat="1" ht="17.149999999999999" customHeight="1" x14ac:dyDescent="0.35">
      <c r="B42" s="230"/>
      <c r="C42" s="294"/>
      <c r="D42" s="63" t="s">
        <v>75</v>
      </c>
      <c r="E42" s="115">
        <f>+'01_Költségvetés'!E45</f>
        <v>0</v>
      </c>
      <c r="F42" s="62" t="s">
        <v>155</v>
      </c>
      <c r="G42" s="175"/>
      <c r="H42" s="175"/>
      <c r="I42" s="123"/>
      <c r="J42" s="123"/>
      <c r="K42" s="51">
        <f t="shared" si="1"/>
        <v>0</v>
      </c>
      <c r="L42" s="232"/>
    </row>
    <row r="43" spans="2:12" s="78" customFormat="1" ht="17.149999999999999" customHeight="1" x14ac:dyDescent="0.35">
      <c r="B43" s="230"/>
      <c r="C43" s="294" t="s">
        <v>81</v>
      </c>
      <c r="D43" s="63" t="s">
        <v>74</v>
      </c>
      <c r="E43" s="115">
        <f>+'01_Költségvetés'!E46</f>
        <v>0</v>
      </c>
      <c r="F43" s="62" t="s">
        <v>155</v>
      </c>
      <c r="G43" s="175"/>
      <c r="H43" s="175"/>
      <c r="I43" s="123"/>
      <c r="J43" s="123"/>
      <c r="K43" s="51">
        <f t="shared" si="1"/>
        <v>0</v>
      </c>
      <c r="L43" s="232"/>
    </row>
    <row r="44" spans="2:12" s="78" customFormat="1" ht="17.149999999999999" customHeight="1" x14ac:dyDescent="0.35">
      <c r="B44" s="230"/>
      <c r="C44" s="294"/>
      <c r="D44" s="63" t="s">
        <v>75</v>
      </c>
      <c r="E44" s="115">
        <f>+'01_Költségvetés'!E47</f>
        <v>0</v>
      </c>
      <c r="F44" s="62" t="s">
        <v>155</v>
      </c>
      <c r="G44" s="175"/>
      <c r="H44" s="175"/>
      <c r="I44" s="123"/>
      <c r="J44" s="123"/>
      <c r="K44" s="51">
        <f t="shared" si="1"/>
        <v>0</v>
      </c>
      <c r="L44" s="232"/>
    </row>
    <row r="45" spans="2:12" s="78" customFormat="1" ht="17.149999999999999" customHeight="1" x14ac:dyDescent="0.35">
      <c r="B45" s="230"/>
      <c r="C45" s="214" t="s">
        <v>240</v>
      </c>
      <c r="D45" s="215"/>
      <c r="E45" s="115">
        <f>+'01_Költségvetés'!E48</f>
        <v>0</v>
      </c>
      <c r="F45" s="62" t="s">
        <v>155</v>
      </c>
      <c r="G45" s="175"/>
      <c r="H45" s="175"/>
      <c r="I45" s="123"/>
      <c r="J45" s="123"/>
      <c r="K45" s="51">
        <f t="shared" si="1"/>
        <v>0</v>
      </c>
      <c r="L45" s="232"/>
    </row>
    <row r="46" spans="2:12" s="78" customFormat="1" ht="17.149999999999999" customHeight="1" x14ac:dyDescent="0.35">
      <c r="B46" s="230"/>
      <c r="C46" s="216" t="s">
        <v>238</v>
      </c>
      <c r="D46" s="172" t="s">
        <v>74</v>
      </c>
      <c r="E46" s="115">
        <f>+'01_Költségvetés'!E49</f>
        <v>0</v>
      </c>
      <c r="F46" s="62" t="s">
        <v>155</v>
      </c>
      <c r="G46" s="175"/>
      <c r="H46" s="175"/>
      <c r="I46" s="123"/>
      <c r="J46" s="123"/>
      <c r="K46" s="51">
        <f t="shared" si="1"/>
        <v>0</v>
      </c>
      <c r="L46" s="232"/>
    </row>
    <row r="47" spans="2:12" s="78" customFormat="1" ht="17.149999999999999" customHeight="1" x14ac:dyDescent="0.35">
      <c r="B47" s="230"/>
      <c r="C47" s="217"/>
      <c r="D47" s="172" t="s">
        <v>239</v>
      </c>
      <c r="E47" s="115">
        <f>+'01_Költségvetés'!E50</f>
        <v>0</v>
      </c>
      <c r="F47" s="62" t="s">
        <v>155</v>
      </c>
      <c r="G47" s="175"/>
      <c r="H47" s="175"/>
      <c r="I47" s="123"/>
      <c r="J47" s="123"/>
      <c r="K47" s="51">
        <f t="shared" si="1"/>
        <v>0</v>
      </c>
      <c r="L47" s="232"/>
    </row>
    <row r="48" spans="2:12" s="78" customFormat="1" ht="17.149999999999999" customHeight="1" x14ac:dyDescent="0.35">
      <c r="B48" s="411"/>
      <c r="C48" s="218"/>
      <c r="D48" s="172" t="s">
        <v>75</v>
      </c>
      <c r="E48" s="115">
        <f>+'01_Költségvetés'!E51</f>
        <v>0</v>
      </c>
      <c r="F48" s="62" t="s">
        <v>155</v>
      </c>
      <c r="G48" s="175"/>
      <c r="H48" s="175"/>
      <c r="I48" s="123"/>
      <c r="J48" s="123"/>
      <c r="K48" s="51">
        <f t="shared" si="1"/>
        <v>0</v>
      </c>
      <c r="L48" s="233"/>
    </row>
    <row r="49" spans="2:12" s="78" customFormat="1" ht="18" customHeight="1" x14ac:dyDescent="0.35">
      <c r="B49" s="268" t="s">
        <v>179</v>
      </c>
      <c r="C49" s="288" t="s">
        <v>68</v>
      </c>
      <c r="D49" s="288"/>
      <c r="E49" s="115">
        <f>+'01_Költségvetés'!E52</f>
        <v>0</v>
      </c>
      <c r="F49" s="62" t="s">
        <v>155</v>
      </c>
      <c r="G49" s="175"/>
      <c r="H49" s="175"/>
      <c r="I49" s="123"/>
      <c r="J49" s="123"/>
      <c r="K49" s="51">
        <f t="shared" si="1"/>
        <v>0</v>
      </c>
      <c r="L49" s="256">
        <f>SUM(K49:K50)</f>
        <v>0</v>
      </c>
    </row>
    <row r="50" spans="2:12" s="78" customFormat="1" ht="18" customHeight="1" x14ac:dyDescent="0.35">
      <c r="B50" s="268"/>
      <c r="C50" s="288" t="s">
        <v>102</v>
      </c>
      <c r="D50" s="288"/>
      <c r="E50" s="115">
        <f>+'01_Költségvetés'!E53</f>
        <v>0</v>
      </c>
      <c r="F50" s="62" t="s">
        <v>155</v>
      </c>
      <c r="G50" s="175"/>
      <c r="H50" s="175"/>
      <c r="I50" s="123"/>
      <c r="J50" s="123"/>
      <c r="K50" s="51">
        <f t="shared" si="1"/>
        <v>0</v>
      </c>
      <c r="L50" s="256"/>
    </row>
    <row r="51" spans="2:12" s="78" customFormat="1" ht="20.149999999999999" customHeight="1" x14ac:dyDescent="0.35">
      <c r="B51" s="268" t="s">
        <v>184</v>
      </c>
      <c r="C51" s="222" t="s">
        <v>101</v>
      </c>
      <c r="D51" s="222"/>
      <c r="E51" s="222" t="s">
        <v>5</v>
      </c>
      <c r="F51" s="222" t="s">
        <v>5</v>
      </c>
      <c r="G51" s="175"/>
      <c r="H51" s="175"/>
      <c r="I51" s="123"/>
      <c r="J51" s="123"/>
      <c r="K51" s="51">
        <f t="shared" si="1"/>
        <v>0</v>
      </c>
      <c r="L51" s="256">
        <f>SUM(K51:K52)</f>
        <v>0</v>
      </c>
    </row>
    <row r="52" spans="2:12" s="78" customFormat="1" ht="20.149999999999999" customHeight="1" thickBot="1" x14ac:dyDescent="0.4">
      <c r="B52" s="269"/>
      <c r="C52" s="222" t="s">
        <v>66</v>
      </c>
      <c r="D52" s="222"/>
      <c r="E52" s="222" t="s">
        <v>5</v>
      </c>
      <c r="F52" s="222" t="s">
        <v>5</v>
      </c>
      <c r="G52" s="176"/>
      <c r="H52" s="176"/>
      <c r="I52" s="124"/>
      <c r="J52" s="124"/>
      <c r="K52" s="56">
        <f t="shared" si="1"/>
        <v>0</v>
      </c>
      <c r="L52" s="257"/>
    </row>
    <row r="53" spans="2:12" s="78" customFormat="1" ht="20.149999999999999" customHeight="1" x14ac:dyDescent="0.35">
      <c r="B53" s="251" t="s">
        <v>185</v>
      </c>
      <c r="C53" s="254" t="s">
        <v>186</v>
      </c>
      <c r="D53" s="254"/>
      <c r="E53" s="254"/>
      <c r="F53" s="254"/>
      <c r="G53" s="125"/>
      <c r="H53" s="125"/>
      <c r="I53" s="180"/>
      <c r="J53" s="180"/>
      <c r="K53" s="47">
        <f t="shared" si="1"/>
        <v>0</v>
      </c>
      <c r="L53" s="255">
        <f>SUM(K53:K55)</f>
        <v>0</v>
      </c>
    </row>
    <row r="54" spans="2:12" s="78" customFormat="1" ht="20.149999999999999" customHeight="1" x14ac:dyDescent="0.35">
      <c r="B54" s="252"/>
      <c r="C54" s="222" t="s">
        <v>187</v>
      </c>
      <c r="D54" s="222"/>
      <c r="E54" s="222"/>
      <c r="F54" s="222"/>
      <c r="G54" s="123"/>
      <c r="H54" s="123"/>
      <c r="I54" s="175"/>
      <c r="J54" s="175"/>
      <c r="K54" s="51">
        <f t="shared" si="1"/>
        <v>0</v>
      </c>
      <c r="L54" s="256"/>
    </row>
    <row r="55" spans="2:12" s="78" customFormat="1" ht="20.149999999999999" customHeight="1" thickBot="1" x14ac:dyDescent="0.4">
      <c r="B55" s="253"/>
      <c r="C55" s="227" t="s">
        <v>188</v>
      </c>
      <c r="D55" s="227"/>
      <c r="E55" s="227"/>
      <c r="F55" s="227"/>
      <c r="G55" s="124"/>
      <c r="H55" s="124"/>
      <c r="I55" s="176"/>
      <c r="J55" s="176"/>
      <c r="K55" s="56">
        <f t="shared" si="1"/>
        <v>0</v>
      </c>
      <c r="L55" s="257"/>
    </row>
    <row r="56" spans="2:12" s="96" customFormat="1" ht="20.5" customHeight="1" x14ac:dyDescent="0.35">
      <c r="B56" s="392" t="s">
        <v>116</v>
      </c>
      <c r="C56" s="393"/>
      <c r="D56" s="393"/>
      <c r="E56" s="393"/>
      <c r="F56" s="393"/>
      <c r="G56" s="393"/>
      <c r="H56" s="393"/>
      <c r="I56" s="393"/>
      <c r="J56" s="394"/>
      <c r="K56" s="395">
        <f>+K12+L9+L53</f>
        <v>0</v>
      </c>
      <c r="L56" s="396"/>
    </row>
    <row r="57" spans="2:12" s="96" customFormat="1" ht="20.5" customHeight="1" x14ac:dyDescent="0.35">
      <c r="B57" s="353" t="s">
        <v>156</v>
      </c>
      <c r="C57" s="212" t="s">
        <v>105</v>
      </c>
      <c r="D57" s="354"/>
      <c r="E57" s="354"/>
      <c r="F57" s="354"/>
      <c r="G57" s="354"/>
      <c r="H57" s="355"/>
      <c r="I57" s="359" t="s">
        <v>10</v>
      </c>
      <c r="J57" s="360"/>
      <c r="K57" s="361" t="s">
        <v>11</v>
      </c>
      <c r="L57" s="361"/>
    </row>
    <row r="58" spans="2:12" s="78" customFormat="1" ht="20.5" customHeight="1" thickBot="1" x14ac:dyDescent="0.4">
      <c r="B58" s="353"/>
      <c r="C58" s="213"/>
      <c r="D58" s="356"/>
      <c r="E58" s="356"/>
      <c r="F58" s="356"/>
      <c r="G58" s="356"/>
      <c r="H58" s="357"/>
      <c r="I58" s="358"/>
      <c r="J58" s="358"/>
      <c r="K58" s="358"/>
      <c r="L58" s="358"/>
    </row>
    <row r="59" spans="2:12" s="96" customFormat="1" ht="21.65" customHeight="1" thickBot="1" x14ac:dyDescent="0.4">
      <c r="B59" s="387" t="s">
        <v>110</v>
      </c>
      <c r="C59" s="388"/>
      <c r="D59" s="388"/>
      <c r="E59" s="388"/>
      <c r="F59" s="388"/>
      <c r="G59" s="388"/>
      <c r="H59" s="388"/>
      <c r="I59" s="388"/>
      <c r="J59" s="389"/>
      <c r="K59" s="390">
        <f>IFERROR(+K58+K56,)</f>
        <v>0</v>
      </c>
      <c r="L59" s="391"/>
    </row>
    <row r="60" spans="2:12" s="17" customFormat="1" ht="13" customHeight="1" x14ac:dyDescent="0.35">
      <c r="B60" s="24"/>
      <c r="C60" s="24"/>
      <c r="D60" s="24"/>
      <c r="E60" s="24"/>
      <c r="F60" s="24"/>
      <c r="G60" s="24"/>
      <c r="H60" s="24"/>
      <c r="I60" s="24"/>
      <c r="J60" s="24"/>
      <c r="K60" s="24"/>
      <c r="L60" s="24"/>
    </row>
    <row r="61" spans="2:12" ht="21.65" customHeight="1" x14ac:dyDescent="0.35">
      <c r="B61" s="26" t="s">
        <v>1</v>
      </c>
      <c r="C61" s="380"/>
      <c r="D61" s="380"/>
      <c r="E61" s="380"/>
      <c r="F61" s="380"/>
      <c r="G61" s="27"/>
      <c r="H61" s="25"/>
      <c r="I61" s="25"/>
      <c r="J61" s="25"/>
      <c r="K61" s="25"/>
      <c r="L61" s="25"/>
    </row>
    <row r="62" spans="2:12" ht="14.5" x14ac:dyDescent="0.35">
      <c r="B62" s="25"/>
      <c r="C62" s="25"/>
      <c r="D62" s="25"/>
      <c r="E62" s="28"/>
      <c r="F62" s="17"/>
      <c r="G62" s="17"/>
      <c r="H62" s="17"/>
      <c r="I62" s="29"/>
      <c r="J62" s="29"/>
      <c r="K62" s="29"/>
      <c r="L62" s="29"/>
    </row>
    <row r="63" spans="2:12" ht="14.5" x14ac:dyDescent="0.35">
      <c r="B63" s="33"/>
      <c r="C63" s="25"/>
      <c r="D63" s="25"/>
      <c r="E63" s="28"/>
      <c r="F63" s="17"/>
      <c r="G63" s="17"/>
      <c r="H63" s="17"/>
      <c r="I63" s="144" t="str">
        <f>IF(ISBLANK('01_Költségvetés'!D5),"",'01_Költségvetés'!D5)</f>
        <v/>
      </c>
      <c r="J63" s="144"/>
      <c r="K63" s="144"/>
      <c r="L63" s="144"/>
    </row>
    <row r="64" spans="2:12" ht="15" customHeight="1" x14ac:dyDescent="0.35">
      <c r="B64" s="17"/>
      <c r="C64" s="33"/>
      <c r="D64" s="33"/>
      <c r="E64" s="28"/>
      <c r="F64" s="17"/>
      <c r="G64" s="17"/>
      <c r="H64" s="17"/>
      <c r="I64" s="284" t="s">
        <v>129</v>
      </c>
      <c r="J64" s="284"/>
      <c r="K64" s="284"/>
      <c r="L64" s="284"/>
    </row>
    <row r="65" spans="2:12" ht="14.5" hidden="1" x14ac:dyDescent="0.35">
      <c r="B65" s="30" t="s">
        <v>19</v>
      </c>
      <c r="C65" s="30"/>
      <c r="D65" s="30"/>
      <c r="E65" s="30"/>
      <c r="F65" s="30"/>
      <c r="G65" s="30"/>
      <c r="H65" s="30"/>
      <c r="I65" s="30"/>
      <c r="J65" s="30"/>
      <c r="K65" s="30"/>
      <c r="L65" s="30"/>
    </row>
    <row r="66" spans="2:12" s="116" customFormat="1" ht="25" customHeight="1" x14ac:dyDescent="0.3">
      <c r="C66" s="148"/>
      <c r="D66" s="148" t="s">
        <v>108</v>
      </c>
      <c r="E66" s="149"/>
      <c r="F66" s="149"/>
      <c r="G66" s="149"/>
      <c r="I66" s="148" t="s">
        <v>108</v>
      </c>
      <c r="J66" s="149"/>
      <c r="K66" s="149"/>
      <c r="L66" s="149"/>
    </row>
    <row r="67" spans="2:12" s="116" customFormat="1" ht="26.5" customHeight="1" x14ac:dyDescent="0.3">
      <c r="C67" s="148"/>
      <c r="D67" s="148" t="s">
        <v>109</v>
      </c>
      <c r="E67" s="150"/>
      <c r="F67" s="150"/>
      <c r="G67" s="150"/>
      <c r="I67" s="148" t="s">
        <v>109</v>
      </c>
      <c r="J67" s="150"/>
      <c r="K67" s="150"/>
      <c r="L67" s="150"/>
    </row>
    <row r="68" spans="2:12" s="116" customFormat="1" ht="26.5" customHeight="1" x14ac:dyDescent="0.3">
      <c r="C68" s="148"/>
      <c r="D68" s="148" t="s">
        <v>107</v>
      </c>
      <c r="E68" s="150"/>
      <c r="F68" s="150"/>
      <c r="G68" s="150"/>
      <c r="I68" s="148" t="s">
        <v>107</v>
      </c>
      <c r="J68" s="150"/>
      <c r="K68" s="150"/>
      <c r="L68" s="150"/>
    </row>
    <row r="69" spans="2:12" ht="14.5" hidden="1" x14ac:dyDescent="0.35"/>
    <row r="70" spans="2:12" ht="14.5" hidden="1" x14ac:dyDescent="0.35"/>
    <row r="71" spans="2:12" ht="14.5" hidden="1" x14ac:dyDescent="0.35"/>
  </sheetData>
  <sheetProtection algorithmName="SHA-512" hashValue="h2Pu/dop+ocWdhdYaN328H5evgHaIfPXqNY/PjuIH6K6zT7hHtD+pvTzc0qMolwkkUc5HK5CjOj9jY2o4Rb+lw==" saltValue="HdvdVTqDIhwhWYZSWJM5Mg==" spinCount="100000" sheet="1" selectLockedCells="1"/>
  <protectedRanges>
    <protectedRange sqref="K49:K52 J9:J12 K12:L12 G9:I13 K9:K11 G53:K55 J13:L13 K14:K17 K36:L48 K18:L35 I14:J52" name="Tartomány2_1"/>
    <protectedRange sqref="K49:K52 J9:J12 K12:L12 I36:J52 G9:I13 K9:K11 G53:K55 J13:L13 K14:K17 K36:L48 K18:L35 I14:J35" name="Tartomány1_1"/>
    <protectedRange sqref="L49:L52 L14:L17" name="Tartomány2_5"/>
    <protectedRange sqref="D59 D56" name="Tartomány1_5"/>
    <protectedRange sqref="G58:I58 K58" name="Tartomány2_1_1"/>
    <protectedRange sqref="G58:I58 K58" name="Tartomány1_1_1"/>
    <protectedRange sqref="D57" name="Tartomány1_5_1"/>
    <protectedRange sqref="L11" name="Tartomány2_1_3"/>
    <protectedRange sqref="L11" name="Tartomány1_1_3"/>
    <protectedRange sqref="L9:L10" name="Tartomány2_5_1"/>
    <protectedRange sqref="L55" name="Tartomány2_1_4"/>
    <protectedRange sqref="L55" name="Tartomány1_1_4"/>
    <protectedRange sqref="L53:L54" name="Tartomány2_5_2"/>
    <protectedRange sqref="E16:E50" name="Tartomány2_2_1"/>
    <protectedRange sqref="E16:E50" name="Tartomány1_2_1"/>
    <protectedRange sqref="G14:H17" name="Tartomány2_1_4_1"/>
    <protectedRange sqref="G14:H17" name="Tartomány1_1_4_1"/>
    <protectedRange sqref="G18:H52" name="Tartomány2_1_4_2"/>
    <protectedRange sqref="G18:H52" name="Tartomány1_1_4_2"/>
  </protectedRanges>
  <dataConsolidate/>
  <mergeCells count="68">
    <mergeCell ref="K2:L2"/>
    <mergeCell ref="B4:C4"/>
    <mergeCell ref="D4:G4"/>
    <mergeCell ref="B7:D8"/>
    <mergeCell ref="E7:E8"/>
    <mergeCell ref="F7:F8"/>
    <mergeCell ref="G7:H7"/>
    <mergeCell ref="I7:J7"/>
    <mergeCell ref="C15:F15"/>
    <mergeCell ref="K7:L8"/>
    <mergeCell ref="B5:C5"/>
    <mergeCell ref="D5:G5"/>
    <mergeCell ref="B12:J12"/>
    <mergeCell ref="K12:L12"/>
    <mergeCell ref="B13:J13"/>
    <mergeCell ref="K13:L13"/>
    <mergeCell ref="B9:B11"/>
    <mergeCell ref="C9:D9"/>
    <mergeCell ref="L9:L11"/>
    <mergeCell ref="C10:D10"/>
    <mergeCell ref="E1:L1"/>
    <mergeCell ref="L41:L48"/>
    <mergeCell ref="C36:C38"/>
    <mergeCell ref="C16:C17"/>
    <mergeCell ref="B14:B17"/>
    <mergeCell ref="L18:L40"/>
    <mergeCell ref="C21:C23"/>
    <mergeCell ref="C24:C26"/>
    <mergeCell ref="C27:C29"/>
    <mergeCell ref="C30:C31"/>
    <mergeCell ref="C32:C33"/>
    <mergeCell ref="C34:C35"/>
    <mergeCell ref="C39:C40"/>
    <mergeCell ref="L14:L17"/>
    <mergeCell ref="C11:D11"/>
    <mergeCell ref="C14:F14"/>
    <mergeCell ref="I58:J58"/>
    <mergeCell ref="K58:L58"/>
    <mergeCell ref="C41:C42"/>
    <mergeCell ref="C43:C44"/>
    <mergeCell ref="B18:B40"/>
    <mergeCell ref="C18:C20"/>
    <mergeCell ref="C45:D45"/>
    <mergeCell ref="C46:C48"/>
    <mergeCell ref="B41:B48"/>
    <mergeCell ref="B56:J56"/>
    <mergeCell ref="K56:L56"/>
    <mergeCell ref="B53:B55"/>
    <mergeCell ref="C53:F53"/>
    <mergeCell ref="L53:L55"/>
    <mergeCell ref="C54:F54"/>
    <mergeCell ref="C55:F55"/>
    <mergeCell ref="I64:L64"/>
    <mergeCell ref="B59:J59"/>
    <mergeCell ref="K59:L59"/>
    <mergeCell ref="L49:L50"/>
    <mergeCell ref="C50:D50"/>
    <mergeCell ref="B51:B52"/>
    <mergeCell ref="L51:L52"/>
    <mergeCell ref="C51:F51"/>
    <mergeCell ref="C52:F52"/>
    <mergeCell ref="C61:F61"/>
    <mergeCell ref="B49:B50"/>
    <mergeCell ref="C49:D49"/>
    <mergeCell ref="B57:B58"/>
    <mergeCell ref="C57:H58"/>
    <mergeCell ref="I57:J57"/>
    <mergeCell ref="K57:L57"/>
  </mergeCells>
  <conditionalFormatting sqref="E16:E50 C61:F61 E67:G68">
    <cfRule type="containsBlanks" dxfId="8" priority="45">
      <formula>LEN(TRIM(C16))=0</formula>
    </cfRule>
  </conditionalFormatting>
  <conditionalFormatting sqref="G14:H52">
    <cfRule type="containsBlanks" dxfId="6" priority="43">
      <formula>LEN(TRIM(G14))=0</formula>
    </cfRule>
  </conditionalFormatting>
  <conditionalFormatting sqref="I9:J11 I53:J55">
    <cfRule type="containsBlanks" dxfId="2" priority="60">
      <formula>LEN(TRIM(I9))=0</formula>
    </cfRule>
  </conditionalFormatting>
  <conditionalFormatting sqref="I58:L58">
    <cfRule type="containsBlanks" dxfId="1" priority="54">
      <formula>LEN(TRIM(I58))=0</formula>
    </cfRule>
  </conditionalFormatting>
  <conditionalFormatting sqref="J67:L68">
    <cfRule type="containsBlanks" dxfId="0" priority="44">
      <formula>LEN(TRIM(J67))=0</formula>
    </cfRule>
  </conditionalFormatting>
  <dataValidations count="6">
    <dataValidation type="decimal" allowBlank="1" showInputMessage="1" showErrorMessage="1" sqref="L14 L51 L49 L53 L9 I41:I42 G14:G55" xr:uid="{00000000-0002-0000-0600-000000000000}">
      <formula1>0</formula1>
      <formula2>10000000000</formula2>
    </dataValidation>
    <dataValidation type="whole" allowBlank="1" showInputMessage="1" showErrorMessage="1" sqref="L18 K58 I58 K43:K55 K9:K40" xr:uid="{00000000-0002-0000-0600-000001000000}">
      <formula1>0</formula1>
      <formula2>10000000000</formula2>
    </dataValidation>
    <dataValidation type="whole" allowBlank="1" showInputMessage="1" showErrorMessage="1" sqref="L41" xr:uid="{00000000-0002-0000-0600-000002000000}">
      <formula1>0</formula1>
      <formula2>100000000</formula2>
    </dataValidation>
    <dataValidation allowBlank="1" sqref="K41:K42" xr:uid="{00000000-0002-0000-0600-000005000000}"/>
    <dataValidation allowBlank="1" showErrorMessage="1" prompt="Helység és dátum megadása." sqref="C61:F61" xr:uid="{00000000-0002-0000-0600-000008000000}"/>
    <dataValidation type="decimal" allowBlank="1" showInputMessage="1" showErrorMessage="1" sqref="E16:E50" xr:uid="{00000000-0002-0000-0600-000007000000}">
      <formula1>0</formula1>
      <formula2>1000000000</formula2>
    </dataValidation>
  </dataValidations>
  <printOptions horizontalCentered="1"/>
  <pageMargins left="0.31496062992125984" right="0.31496062992125984" top="0.55118110236220474" bottom="0.35433070866141736" header="0.31496062992125984" footer="0.31496062992125984"/>
  <pageSetup paperSize="9" scale="73" fitToHeight="0" orientation="landscape" r:id="rId1"/>
  <headerFooter>
    <oddHeader>&amp;LMFB Zrt.&amp;C&amp;9KEHOP Plusz-4.1.7-24 OTTHONFELÚJÍTÁSI HITELPROGRAM - Saját beszerzés&amp;R&amp;P.oldal</oddHeader>
  </headerFooter>
  <rowBreaks count="1" manualBreakCount="1">
    <brk id="40" max="16383" man="1"/>
  </rowBreaks>
  <ignoredErrors>
    <ignoredError sqref="D4:D5"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42" id="{874E4B1E-A641-46F8-BE34-006C429D9220}">
            <xm:f>'01_Költségvetés'!$N$5&lt;&gt;"Igen"</xm:f>
            <x14:dxf>
              <fill>
                <patternFill patternType="gray0625">
                  <bgColor theme="0"/>
                </patternFill>
              </fill>
            </x14:dxf>
          </x14:cfRule>
          <xm:sqref>G14:H17</xm:sqref>
        </x14:conditionalFormatting>
        <x14:conditionalFormatting xmlns:xm="http://schemas.microsoft.com/office/excel/2006/main">
          <x14:cfRule type="expression" priority="40" id="{502E15C7-178A-4356-B307-5D403B4351BF}">
            <xm:f>'01_Költségvetés'!$N$6&lt;&gt;"Igen"</xm:f>
            <x14:dxf>
              <fill>
                <patternFill patternType="gray0625">
                  <bgColor theme="0"/>
                </patternFill>
              </fill>
            </x14:dxf>
          </x14:cfRule>
          <xm:sqref>G18:H40</xm:sqref>
        </x14:conditionalFormatting>
        <x14:conditionalFormatting xmlns:xm="http://schemas.microsoft.com/office/excel/2006/main">
          <x14:cfRule type="expression" priority="39" id="{76A3E813-3131-4C29-96AD-752AC17BDC7E}">
            <xm:f>'01_Költségvetés'!$N$7&lt;&gt;"Igen"</xm:f>
            <x14:dxf>
              <fill>
                <patternFill patternType="gray0625">
                  <fgColor auto="1"/>
                  <bgColor theme="0"/>
                </patternFill>
              </fill>
            </x14:dxf>
          </x14:cfRule>
          <xm:sqref>G41:H48</xm:sqref>
        </x14:conditionalFormatting>
        <x14:conditionalFormatting xmlns:xm="http://schemas.microsoft.com/office/excel/2006/main">
          <x14:cfRule type="expression" priority="38" id="{825A4379-26B5-49F7-9D1B-DDD8ABA1728E}">
            <xm:f>'01_Költségvetés'!$N$8&lt;&gt;"Igen"</xm:f>
            <x14:dxf>
              <fill>
                <patternFill patternType="gray0625">
                  <bgColor theme="0"/>
                </patternFill>
              </fill>
            </x14:dxf>
          </x14:cfRule>
          <xm:sqref>G49:H52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sheetPr>
  <dimension ref="A1:J48"/>
  <sheetViews>
    <sheetView zoomScale="90" zoomScaleNormal="90" workbookViewId="0">
      <selection activeCell="E2" sqref="E2"/>
    </sheetView>
  </sheetViews>
  <sheetFormatPr defaultColWidth="8.7265625" defaultRowHeight="14.5" x14ac:dyDescent="0.35"/>
  <cols>
    <col min="1" max="3" width="8.7265625" style="7"/>
    <col min="4" max="4" width="23.26953125" style="7" bestFit="1" customWidth="1"/>
    <col min="5" max="16384" width="8.7265625" style="7"/>
  </cols>
  <sheetData>
    <row r="1" spans="1:10" ht="33" customHeight="1" x14ac:dyDescent="0.35">
      <c r="A1" s="6">
        <v>0</v>
      </c>
      <c r="B1" s="7" t="s">
        <v>24</v>
      </c>
      <c r="C1" s="7" t="s">
        <v>9</v>
      </c>
      <c r="D1" s="7" t="s">
        <v>41</v>
      </c>
      <c r="E1" s="8" t="s">
        <v>72</v>
      </c>
      <c r="F1" s="8"/>
      <c r="G1" s="8"/>
      <c r="H1" s="8"/>
      <c r="I1" s="8"/>
      <c r="J1" s="8"/>
    </row>
    <row r="2" spans="1:10" ht="44.25" customHeight="1" x14ac:dyDescent="0.35">
      <c r="A2" s="6">
        <v>0.05</v>
      </c>
      <c r="B2" s="7" t="s">
        <v>25</v>
      </c>
      <c r="C2" s="7" t="s">
        <v>7</v>
      </c>
      <c r="D2" s="7" t="s">
        <v>36</v>
      </c>
      <c r="E2" s="7" t="s">
        <v>73</v>
      </c>
    </row>
    <row r="3" spans="1:10" ht="30" customHeight="1" x14ac:dyDescent="0.35">
      <c r="A3" s="6">
        <v>0.18</v>
      </c>
      <c r="B3" s="7" t="s">
        <v>26</v>
      </c>
      <c r="C3" s="7" t="s">
        <v>23</v>
      </c>
      <c r="D3" s="7" t="s">
        <v>37</v>
      </c>
      <c r="E3" s="7" t="s">
        <v>71</v>
      </c>
    </row>
    <row r="4" spans="1:10" ht="27.75" customHeight="1" x14ac:dyDescent="0.35">
      <c r="A4" s="6">
        <v>0.27</v>
      </c>
      <c r="B4" s="7" t="s">
        <v>12</v>
      </c>
      <c r="D4" s="7" t="s">
        <v>38</v>
      </c>
      <c r="E4" s="7" t="s">
        <v>70</v>
      </c>
    </row>
    <row r="5" spans="1:10" x14ac:dyDescent="0.35">
      <c r="A5" s="6"/>
      <c r="B5" s="7" t="s">
        <v>13</v>
      </c>
      <c r="C5" s="7" t="s">
        <v>9</v>
      </c>
      <c r="D5" s="7" t="s">
        <v>42</v>
      </c>
    </row>
    <row r="6" spans="1:10" x14ac:dyDescent="0.35">
      <c r="A6" s="6"/>
      <c r="B6" s="7" t="s">
        <v>27</v>
      </c>
      <c r="C6" s="7" t="s">
        <v>7</v>
      </c>
    </row>
    <row r="7" spans="1:10" x14ac:dyDescent="0.35">
      <c r="B7" s="7" t="s">
        <v>28</v>
      </c>
      <c r="C7" s="7" t="s">
        <v>43</v>
      </c>
    </row>
    <row r="8" spans="1:10" x14ac:dyDescent="0.35">
      <c r="B8" s="7" t="s">
        <v>29</v>
      </c>
    </row>
    <row r="9" spans="1:10" x14ac:dyDescent="0.35">
      <c r="B9" s="7" t="s">
        <v>30</v>
      </c>
    </row>
    <row r="10" spans="1:10" x14ac:dyDescent="0.35">
      <c r="B10" s="7" t="s">
        <v>31</v>
      </c>
    </row>
    <row r="11" spans="1:10" x14ac:dyDescent="0.35">
      <c r="B11" s="7" t="s">
        <v>32</v>
      </c>
    </row>
    <row r="12" spans="1:10" x14ac:dyDescent="0.35">
      <c r="B12" s="7" t="s">
        <v>33</v>
      </c>
    </row>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8" ht="15" customHeight="1" x14ac:dyDescent="0.35"/>
    <row r="39" ht="15" customHeight="1" x14ac:dyDescent="0.35"/>
    <row r="48" ht="30" customHeight="1" x14ac:dyDescent="0.35"/>
  </sheetData>
  <sheetProtection selectLockedCells="1"/>
  <customSheetViews>
    <customSheetView guid="{396A034F-45B2-4D1D-91F6-7C5931F382F0}" topLeftCell="I14">
      <selection activeCell="S5" sqref="S5"/>
      <pageMargins left="0.7" right="0.7" top="0.75" bottom="0.75" header="0.3" footer="0.3"/>
      <pageSetup paperSize="9" orientation="portrait" r:id="rId1"/>
    </customSheetView>
  </customSheetView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8599379-820f-4d6f-8b8f-da25f722557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um" ma:contentTypeID="0x0101008ECE92DA74C3EC459D361EADCA68228F" ma:contentTypeVersion="15" ma:contentTypeDescription="Új dokumentum létrehozása." ma:contentTypeScope="" ma:versionID="4f6d182eff8f6ae6d8ff52b140d76995">
  <xsd:schema xmlns:xsd="http://www.w3.org/2001/XMLSchema" xmlns:xs="http://www.w3.org/2001/XMLSchema" xmlns:p="http://schemas.microsoft.com/office/2006/metadata/properties" xmlns:ns3="6d4eb523-ce65-4365-969c-2d6b542b956c" xmlns:ns4="28599379-820f-4d6f-8b8f-da25f722557d" targetNamespace="http://schemas.microsoft.com/office/2006/metadata/properties" ma:root="true" ma:fieldsID="3eab50979a0257aebb907ace67f4de56" ns3:_="" ns4:_="">
    <xsd:import namespace="6d4eb523-ce65-4365-969c-2d6b542b956c"/>
    <xsd:import namespace="28599379-820f-4d6f-8b8f-da25f722557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DateTaken" minOccurs="0"/>
                <xsd:element ref="ns4:MediaServiceObjectDetectorVersions" minOccurs="0"/>
                <xsd:element ref="ns4:MediaServiceSystemTags" minOccurs="0"/>
                <xsd:element ref="ns4:MediaLengthInSecond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4eb523-ce65-4365-969c-2d6b542b956c" elementFormDefault="qualified">
    <xsd:import namespace="http://schemas.microsoft.com/office/2006/documentManagement/types"/>
    <xsd:import namespace="http://schemas.microsoft.com/office/infopath/2007/PartnerControls"/>
    <xsd:element name="SharedWithUsers" ma:index="8" nillable="true" ma:displayName="Résztvevők"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Megosztva részletekkel" ma:internalName="SharedWithDetails" ma:readOnly="true">
      <xsd:simpleType>
        <xsd:restriction base="dms:Note">
          <xsd:maxLength value="255"/>
        </xsd:restriction>
      </xsd:simpleType>
    </xsd:element>
    <xsd:element name="SharingHintHash" ma:index="10" nillable="true" ma:displayName="Megosztási tipp kivonata"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599379-820f-4d6f-8b8f-da25f722557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artalomtípus"/>
        <xsd:element ref="dc:title" minOccurs="0" maxOccurs="1" ma:index="4" ma:displayName="Cím"/>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F87AE3-081B-451E-B231-8F92C8B76942}">
  <ds:schemaRefs>
    <ds:schemaRef ds:uri="http://schemas.microsoft.com/sharepoint/v3/contenttype/forms"/>
  </ds:schemaRefs>
</ds:datastoreItem>
</file>

<file path=customXml/itemProps2.xml><?xml version="1.0" encoding="utf-8"?>
<ds:datastoreItem xmlns:ds="http://schemas.openxmlformats.org/officeDocument/2006/customXml" ds:itemID="{5F6DDB82-6EC7-41EB-B0CF-CE2CC6189281}">
  <ds:schemaRefs>
    <ds:schemaRef ds:uri="http://purl.org/dc/elements/1.1/"/>
    <ds:schemaRef ds:uri="http://schemas.microsoft.com/office/infopath/2007/PartnerControls"/>
    <ds:schemaRef ds:uri="http://schemas.openxmlformats.org/package/2006/metadata/core-properties"/>
    <ds:schemaRef ds:uri="28599379-820f-4d6f-8b8f-da25f722557d"/>
    <ds:schemaRef ds:uri="6d4eb523-ce65-4365-969c-2d6b542b956c"/>
    <ds:schemaRef ds:uri="http://schemas.microsoft.com/office/2006/metadata/properties"/>
    <ds:schemaRef ds:uri="http://schemas.microsoft.com/office/2006/documentManagement/types"/>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5595085E-D02E-4346-805B-8A680E8C5A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4eb523-ce65-4365-969c-2d6b542b956c"/>
    <ds:schemaRef ds:uri="28599379-820f-4d6f-8b8f-da25f72255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Munkalapok</vt:lpstr>
      </vt:variant>
      <vt:variant>
        <vt:i4>8</vt:i4>
      </vt:variant>
      <vt:variant>
        <vt:lpstr>Névvel ellátott tartományok</vt:lpstr>
      </vt:variant>
      <vt:variant>
        <vt:i4>9</vt:i4>
      </vt:variant>
    </vt:vector>
  </HeadingPairs>
  <TitlesOfParts>
    <vt:vector size="17" baseType="lpstr">
      <vt:lpstr>Kitöltési útmutató</vt:lpstr>
      <vt:lpstr>01_Költségvetés</vt:lpstr>
      <vt:lpstr>02_Vállalkozási szerződés1</vt:lpstr>
      <vt:lpstr>02_Vállalkozási szerződés2 </vt:lpstr>
      <vt:lpstr>02_Vállalkozási szerződés3</vt:lpstr>
      <vt:lpstr>02_Vállalkozási szerződés4</vt:lpstr>
      <vt:lpstr>03_Saját beszerzés</vt:lpstr>
      <vt:lpstr>érv</vt:lpstr>
      <vt:lpstr>'01_Költségvetés'!Nyomtatási_cím</vt:lpstr>
      <vt:lpstr>'03_Saját beszerzés'!Nyomtatási_cím</vt:lpstr>
      <vt:lpstr>'01_Költségvetés'!Nyomtatási_terület</vt:lpstr>
      <vt:lpstr>'02_Vállalkozási szerződés1'!Nyomtatási_terület</vt:lpstr>
      <vt:lpstr>'02_Vállalkozási szerződés2 '!Nyomtatási_terület</vt:lpstr>
      <vt:lpstr>'02_Vállalkozási szerződés3'!Nyomtatási_terület</vt:lpstr>
      <vt:lpstr>'02_Vállalkozási szerződés4'!Nyomtatási_terület</vt:lpstr>
      <vt:lpstr>'03_Saját beszerzés'!Nyomtatási_terület</vt:lpstr>
      <vt:lpstr>'Kitöltési útmutató'!Nyomtatási_terület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MFB Zrt.</dc:creator>
  <cp:lastModifiedBy>Nagy Fruzsina</cp:lastModifiedBy>
  <cp:lastPrinted>2026-01-15T08:35:18Z</cp:lastPrinted>
  <dcterms:created xsi:type="dcterms:W3CDTF">2016-12-19T05:49:20Z</dcterms:created>
  <dcterms:modified xsi:type="dcterms:W3CDTF">2026-01-15T08:35:43Z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0x0101008ECE92DA74C3EC459D361EADCA68228F</vt:lpwstr>
  </property>
</Properties>
</file>