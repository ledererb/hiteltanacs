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J:\21_27_MFB_PONT\2_Lakossági\03_Hitelprogramok\2_KEHOP_OFP\02_Felhívás\Egyszerűsítési javaslatok munkaanyag\VÉGLEGES_20251015\KEHOP Plusz_4.1.7-24_hatályos_20251015\"/>
    </mc:Choice>
  </mc:AlternateContent>
  <xr:revisionPtr revIDLastSave="0" documentId="13_ncr:1_{7950E22D-9A37-4D7F-8D0F-58D56D50EF9D}" xr6:coauthVersionLast="47" xr6:coauthVersionMax="47" xr10:uidLastSave="{00000000-0000-0000-0000-000000000000}"/>
  <bookViews>
    <workbookView xWindow="28680" yWindow="-120" windowWidth="29040" windowHeight="15720" tabRatio="905" firstSheet="1" activeTab="3" xr2:uid="{00000000-000D-0000-FFFF-FFFF00000000}"/>
  </bookViews>
  <sheets>
    <sheet name="érv" sheetId="18" state="hidden" r:id="rId1"/>
    <sheet name="Kitöltési útmutató" sheetId="22" r:id="rId2"/>
    <sheet name="01_Energetikai nyilatkozat" sheetId="20" r:id="rId3"/>
    <sheet name="02_Záró energetikai nyilatkozat" sheetId="21" r:id="rId4"/>
  </sheets>
  <definedNames>
    <definedName name="igenylo_neve" localSheetId="1">#REF!</definedName>
    <definedName name="igenylo_neve">#REF!</definedName>
    <definedName name="_xlnm.Print_Area" localSheetId="2">'01_Energetikai nyilatkozat'!$A$1:$I$79</definedName>
    <definedName name="_xlnm.Print_Area" localSheetId="3">'02_Záró energetikai nyilatkozat'!$A$1:$I$80</definedName>
    <definedName name="_xlnm.Print_Area" localSheetId="1">'Kitöltési útmutató'!$A$1:$B$36</definedName>
    <definedName name="Z_396A034F_45B2_4D1D_91F6_7C5931F382F0_.wvu.Cols" localSheetId="2" hidden="1">'01_Energetikai nyilatkozat'!$K:$XFD</definedName>
    <definedName name="Z_396A034F_45B2_4D1D_91F6_7C5931F382F0_.wvu.Cols" localSheetId="3" hidden="1">'02_Záró energetikai nyilatkozat'!$K:$XFD</definedName>
    <definedName name="Z_396A034F_45B2_4D1D_91F6_7C5931F382F0_.wvu.PrintArea" localSheetId="2" hidden="1">'01_Energetikai nyilatkozat'!$1:$79</definedName>
    <definedName name="Z_396A034F_45B2_4D1D_91F6_7C5931F382F0_.wvu.PrintArea" localSheetId="3" hidden="1">'02_Záró energetikai nyilatkozat'!$A$1:$I$80</definedName>
    <definedName name="Z_396A034F_45B2_4D1D_91F6_7C5931F382F0_.wvu.PrintArea" localSheetId="1" hidden="1">'Kitöltési útmutató'!#REF!</definedName>
    <definedName name="Z_396A034F_45B2_4D1D_91F6_7C5931F382F0_.wvu.Rows" localSheetId="2" hidden="1">'01_Energetikai nyilatkozat'!$92:$1048576,'01_Energetikai nyilatkozat'!#REF!,'01_Energetikai nyilatkozat'!$80:$82</definedName>
    <definedName name="Z_396A034F_45B2_4D1D_91F6_7C5931F382F0_.wvu.Rows" localSheetId="3" hidden="1">'02_Záró energetikai nyilatkozat'!$83:$1048576,'02_Záró energetikai nyilatkozat'!#REF!,'02_Záró energetikai nyilatkozat'!#REF!,'02_Záró energetikai nyilatkozat'!#REF!,'02_Záró energetikai nyilatkozat'!#REF!,'02_Záró energetikai nyilatkozat'!#REF!,'02_Záró energetikai nyilatkozat'!#REF!,'02_Záró energetikai nyilatkozat'!$81:$81</definedName>
  </definedNames>
  <calcPr calcId="191029"/>
  <customWorkbookViews>
    <customWorkbookView name="Nyomtatási" guid="{396A034F-45B2-4D1D-91F6-7C5931F382F0}" windowWidth="1920" windowHeight="1032" tabRatio="905" activeSheetId="2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0" l="1"/>
  <c r="B60" i="21"/>
  <c r="G30" i="21"/>
  <c r="E30" i="21"/>
  <c r="G36" i="21"/>
  <c r="E36" i="21"/>
  <c r="F38" i="20"/>
  <c r="D38" i="20"/>
  <c r="F32" i="20"/>
  <c r="D32" i="20"/>
  <c r="G65" i="20"/>
  <c r="G64" i="20"/>
  <c r="G63" i="20"/>
  <c r="G62" i="20"/>
  <c r="G61" i="20"/>
  <c r="G60" i="20"/>
  <c r="G59" i="20"/>
  <c r="G58" i="20"/>
  <c r="G57" i="21"/>
  <c r="G56" i="21"/>
  <c r="G55" i="21"/>
  <c r="G54" i="21"/>
  <c r="G53" i="21"/>
  <c r="G52" i="21"/>
  <c r="G51" i="21"/>
  <c r="G50" i="21"/>
  <c r="F56" i="21" l="1"/>
  <c r="F53" i="21" s="1"/>
  <c r="I30" i="21"/>
  <c r="F64" i="20"/>
  <c r="F61" i="20" s="1"/>
  <c r="H32" i="20"/>
  <c r="H55" i="21" l="1"/>
  <c r="F55" i="21"/>
  <c r="H54" i="21"/>
  <c r="F54" i="21"/>
  <c r="H52" i="21"/>
  <c r="H51" i="21"/>
  <c r="F51" i="21"/>
  <c r="H50" i="21"/>
  <c r="F50" i="21"/>
  <c r="H16" i="21" l="1"/>
  <c r="I10" i="20" l="1"/>
  <c r="H17" i="21"/>
  <c r="E51" i="21" l="1"/>
  <c r="E52" i="21"/>
  <c r="E53" i="21"/>
  <c r="E54" i="21"/>
  <c r="E55" i="21"/>
  <c r="E56" i="21"/>
  <c r="E57" i="21"/>
  <c r="E50" i="21"/>
  <c r="F57" i="21" l="1"/>
  <c r="F52" i="21" l="1"/>
  <c r="I35" i="21"/>
  <c r="I34" i="21"/>
  <c r="I33" i="21"/>
  <c r="I32" i="21"/>
  <c r="H56" i="21" s="1"/>
  <c r="I31" i="21"/>
  <c r="I29" i="21"/>
  <c r="I28" i="21"/>
  <c r="I27" i="21"/>
  <c r="I26" i="21"/>
  <c r="I25" i="21"/>
  <c r="I24" i="21"/>
  <c r="I23" i="21"/>
  <c r="I22" i="21"/>
  <c r="E58" i="20"/>
  <c r="E59" i="20"/>
  <c r="E60" i="20"/>
  <c r="E61" i="20"/>
  <c r="E62" i="20"/>
  <c r="E63" i="20"/>
  <c r="E64" i="20"/>
  <c r="E65" i="20"/>
  <c r="F9" i="21" a="1"/>
  <c r="F9" i="21" s="1"/>
  <c r="F8" i="21" a="1"/>
  <c r="F8" i="21" s="1"/>
  <c r="C66" i="21" s="1"/>
  <c r="H57" i="21"/>
  <c r="H60" i="20"/>
  <c r="F60" i="20"/>
  <c r="F59" i="20"/>
  <c r="F58" i="20"/>
  <c r="H53" i="21" l="1"/>
  <c r="H58" i="21"/>
  <c r="B53" i="20"/>
  <c r="F70" i="20"/>
  <c r="I3" i="21"/>
  <c r="G70" i="21" l="1"/>
  <c r="F40" i="21"/>
  <c r="B40" i="21"/>
  <c r="G63" i="21" s="1"/>
  <c r="H65" i="20"/>
  <c r="F65" i="20"/>
  <c r="H63" i="20"/>
  <c r="F63" i="20"/>
  <c r="H62" i="20"/>
  <c r="F62" i="20"/>
  <c r="H59" i="20"/>
  <c r="H58" i="20"/>
  <c r="G49" i="20"/>
  <c r="G41" i="20"/>
  <c r="C41" i="20"/>
  <c r="H37" i="20"/>
  <c r="H36" i="20"/>
  <c r="H35" i="20"/>
  <c r="H34" i="20"/>
  <c r="H64" i="20" s="1"/>
  <c r="H33" i="20"/>
  <c r="H31" i="20"/>
  <c r="H30" i="20"/>
  <c r="H29" i="20"/>
  <c r="H28" i="20"/>
  <c r="H27" i="20"/>
  <c r="H26" i="20"/>
  <c r="H25" i="20"/>
  <c r="H24" i="20"/>
  <c r="G19" i="20"/>
  <c r="G18" i="20"/>
  <c r="H61" i="20" l="1"/>
  <c r="H66" i="20"/>
  <c r="B67" i="20" s="1"/>
  <c r="I36" i="21"/>
  <c r="H38" i="20"/>
  <c r="B59" i="2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<sst xmlns="http://schemas.openxmlformats.org/spreadsheetml/2006/main" count="270" uniqueCount="165">
  <si>
    <t>Alulírott</t>
  </si>
  <si>
    <t>(Teljes név)</t>
  </si>
  <si>
    <t>1.</t>
  </si>
  <si>
    <t>2.</t>
  </si>
  <si>
    <t>3.</t>
  </si>
  <si>
    <t>4.</t>
  </si>
  <si>
    <t>Kelt:</t>
  </si>
  <si>
    <t>I. Energetikai tanúsítással kapcsolatos adatok</t>
  </si>
  <si>
    <t>II. Energetikai tanúsítással meghatározott megtakarítási adatok</t>
  </si>
  <si>
    <t>Fejlesztés előtti (kiinduló) állapot</t>
  </si>
  <si>
    <t>A lakóépület éves elsődleges energiafogyasztása
(kWh/év)</t>
  </si>
  <si>
    <t>Fejlesztés utáni (tervezett) állapot</t>
  </si>
  <si>
    <t>kijelentem, hogy a jelen Nyilatkozatban feltüntetett adatok tartalmát megismertem és elfogadom, valamint a Projektre vonatkozóan kötelezően betartom és betartatom.</t>
  </si>
  <si>
    <t>Energetikai minőség szerinti besorolás</t>
  </si>
  <si>
    <t xml:space="preserve"> büntetőjogi felelősségem teljes tudatában nyilatkozom az alábbiakról:</t>
  </si>
  <si>
    <t>büntetőjogi felelősségem teljes tudatában nyilatkozom az alábbiakról:</t>
  </si>
  <si>
    <t>GJ/év</t>
  </si>
  <si>
    <t>kWh/év</t>
  </si>
  <si>
    <t>Fejlesztés utáni (megvalósult) állapot</t>
  </si>
  <si>
    <t>Fűtött alapterület 
(m2)</t>
  </si>
  <si>
    <t xml:space="preserve">(jogosultsági szám) </t>
  </si>
  <si>
    <t>(jogosultsági sz.)</t>
  </si>
  <si>
    <t>(teljes név) mint az I. pontban megjelölt Kölcsönigénylő (képviselője)</t>
  </si>
  <si>
    <t>Kölcsönigénylő (képviselőjének) neve és aláírása</t>
  </si>
  <si>
    <t>nem</t>
  </si>
  <si>
    <t>Megvalósítandó fejlesztések</t>
  </si>
  <si>
    <t>igen</t>
  </si>
  <si>
    <t>A</t>
  </si>
  <si>
    <t>B</t>
  </si>
  <si>
    <t>Hatályos:</t>
  </si>
  <si>
    <t>Kölcsönigénylő (képviselőjének) aláírása</t>
  </si>
  <si>
    <t>aláírás</t>
  </si>
  <si>
    <t>név (nyomtatott betűkkel)</t>
  </si>
  <si>
    <t>állandó lakhely</t>
  </si>
  <si>
    <t>ELŐTTÜNK MINT TANÚK ELŐTT</t>
  </si>
  <si>
    <t>ENERGETIKAI NYILATKOZAT, A KÖLCSÖNKÉRELEM BENYÚJTÁSÁHOZ SZÜKSÉGES MELLÉKLET</t>
  </si>
  <si>
    <t>A Lakossági Eljárási Rendben leírt összeférhetetlenség nem áll fenn.</t>
  </si>
  <si>
    <t>III. Energetikai tanúsítással meghatározott energiafogyasztási adatok</t>
  </si>
  <si>
    <t>Energiahordozó</t>
  </si>
  <si>
    <t>SZÁMÍTOTT ENERGIAFOGYASZTÁS</t>
  </si>
  <si>
    <t>Különbözet</t>
  </si>
  <si>
    <t>Fosszilis</t>
  </si>
  <si>
    <t>szilárd</t>
  </si>
  <si>
    <t>folyékony</t>
  </si>
  <si>
    <t>gáz</t>
  </si>
  <si>
    <t>Bio-massza</t>
  </si>
  <si>
    <t>Hálózati villamos energia</t>
  </si>
  <si>
    <t>Távhőellátás</t>
  </si>
  <si>
    <t>Hulladékhő</t>
  </si>
  <si>
    <t>Nap</t>
  </si>
  <si>
    <t>villamos (PV)</t>
  </si>
  <si>
    <t>termikus</t>
  </si>
  <si>
    <t>Szél</t>
  </si>
  <si>
    <t>Környezeti hő</t>
  </si>
  <si>
    <t>szakértő aláírása</t>
  </si>
  <si>
    <t>V. Energetikai tanúsítással érintett épület adatai és a fejlesztés hatására elérhető megtakarítások adatai</t>
  </si>
  <si>
    <t>nem releváns</t>
  </si>
  <si>
    <t>ZÁRÓ ENERGETIKAI NYILATKOZAT, AZ UTOLSÓ LEHÍVÁS BENYÚJTÁSÁHOZ SZÜKSÉGES DOKUMENTUM</t>
  </si>
  <si>
    <r>
      <t xml:space="preserve"> Összesített energetikai jellemző (kWh/m</t>
    </r>
    <r>
      <rPr>
        <vertAlign val="superscript"/>
        <sz val="10"/>
        <color theme="1"/>
        <rFont val="Calibri"/>
        <family val="2"/>
        <charset val="238"/>
        <scheme val="minor"/>
      </rPr>
      <t>2</t>
    </r>
    <r>
      <rPr>
        <sz val="10"/>
        <color theme="1"/>
        <rFont val="Calibri"/>
        <family val="2"/>
        <charset val="238"/>
        <scheme val="minor"/>
      </rPr>
      <t>év)</t>
    </r>
  </si>
  <si>
    <r>
      <t>Fajlagos CO</t>
    </r>
    <r>
      <rPr>
        <vertAlign val="subscript"/>
        <sz val="10"/>
        <rFont val="Calibri"/>
        <family val="2"/>
        <charset val="238"/>
        <scheme val="minor"/>
      </rPr>
      <t>2</t>
    </r>
    <r>
      <rPr>
        <sz val="10"/>
        <rFont val="Calibri"/>
        <family val="2"/>
        <charset val="238"/>
        <scheme val="minor"/>
      </rPr>
      <t xml:space="preserve"> kibocsátás (kg/m2év)</t>
    </r>
  </si>
  <si>
    <t>A+++</t>
  </si>
  <si>
    <t>A++</t>
  </si>
  <si>
    <t>A+</t>
  </si>
  <si>
    <t>C</t>
  </si>
  <si>
    <t>D</t>
  </si>
  <si>
    <t>E</t>
  </si>
  <si>
    <t>F</t>
  </si>
  <si>
    <t>G</t>
  </si>
  <si>
    <t>H</t>
  </si>
  <si>
    <t>I</t>
  </si>
  <si>
    <t>Nyílászáró csere</t>
  </si>
  <si>
    <t>Használati melegvíz-rendszerek korszerűsítése</t>
  </si>
  <si>
    <t>sorházi családi ház</t>
  </si>
  <si>
    <t>ikerház</t>
  </si>
  <si>
    <t>zártkerti lakóház</t>
  </si>
  <si>
    <t>Határoló szerkezetek hőszigetelése</t>
  </si>
  <si>
    <t>Fentiekre tekintettel kérem, hogy az MFB Pont Plusz az energetikai tanúsítással érintett épület adatait és a fejlesztés hatására elérhető megtakarítások adatait az alábbiak szerint szíveskedjenek figyelembe venni a kölcsönigénylésem esetében:</t>
  </si>
  <si>
    <t>szabadon álló családi ház</t>
  </si>
  <si>
    <t>lakóház</t>
  </si>
  <si>
    <t>&lt;Kérjük, válasszon&gt;</t>
  </si>
  <si>
    <t>Bázis érték</t>
  </si>
  <si>
    <t>Cél érték</t>
  </si>
  <si>
    <t>Mértékegység</t>
  </si>
  <si>
    <t>A jobb energiafogyasztási osztályba sorolt háztartások száma</t>
  </si>
  <si>
    <t>db</t>
  </si>
  <si>
    <t>Megtakarított energiahordozó - szilárd biomassza (tűzifa)</t>
  </si>
  <si>
    <t>Megtakarított energiahordozó - nem szilárd biomassza</t>
  </si>
  <si>
    <t>Az üvegházhatású gázok éves becsült csökkenése</t>
  </si>
  <si>
    <t xml:space="preserve">Energiahatékonysági fejlesztések által elért végsőenergia felhasználás csökkenése </t>
  </si>
  <si>
    <t>Megtakarított energiahordozó - villamosenergia</t>
  </si>
  <si>
    <t>Megtakarított energiahordozó - földgáz</t>
  </si>
  <si>
    <t>Energiahatékonysági fejlesztések által elért primerenergia felhasználás csökkenés</t>
  </si>
  <si>
    <t>Energetikai besorolás</t>
  </si>
  <si>
    <t>Bázis érték (év)</t>
  </si>
  <si>
    <t>Cél érték (év)</t>
  </si>
  <si>
    <t>Kiinduló állapot (kWh/m2év)
végső energiafogyasztás</t>
  </si>
  <si>
    <t>Tervezett állapot (kWh/m2év)
végső energiafogyasztás</t>
  </si>
  <si>
    <t>tonna CO2e/év</t>
  </si>
  <si>
    <t>Energiahatékonysági fejlesztések által elért primerenergia-felhasználás csökkenés aránya a kiinduló állapothoz képest (megújuló villamosenergia-termelés nélkül)</t>
  </si>
  <si>
    <t>csak munkadíj</t>
  </si>
  <si>
    <t>csak anyagköltség</t>
  </si>
  <si>
    <t>Igen</t>
  </si>
  <si>
    <t>Nem</t>
  </si>
  <si>
    <t>Megvalósult állapot (kWh/m2év)
végső energiafogyasztás</t>
  </si>
  <si>
    <t xml:space="preserve">A KIEMELT MEZŐKET SZÜKSÉGES KITÖLTENIE! </t>
  </si>
  <si>
    <t>Aláírás és keltezés</t>
  </si>
  <si>
    <r>
      <t>Kelt:</t>
    </r>
    <r>
      <rPr>
        <sz val="10"/>
        <color theme="5" tint="-0.499984740745262"/>
        <rFont val="Calibri"/>
        <family val="2"/>
        <charset val="238"/>
        <scheme val="minor"/>
      </rPr>
      <t xml:space="preserve"> </t>
    </r>
  </si>
  <si>
    <t>I.     Energetikai tanúsítással kapcsolatos adatok</t>
  </si>
  <si>
    <t>Nyitó hiteles energetikai tanúsítvány HET száma</t>
  </si>
  <si>
    <t>II.               Energetikai tanúsítással meghatározott megtakarítási adatok</t>
  </si>
  <si>
    <t>Válassza ki a legördülő menüből a besorolás típusát!</t>
  </si>
  <si>
    <t>Töltse fel az értéket a kiinduló állapotot tartalmazó energetikai tanúsítványból!</t>
  </si>
  <si>
    <t>Automatikusan számolja a dokumentum.</t>
  </si>
  <si>
    <t>Ezen adatokat a beruházás megvalósítását megelőző kiinduló állapotot rögzítő hiteles energetikai tanúsítvány és a tervezett állapotot rögzítő, tanúsító program használatával készített nem hitelesített energetikai számítás adatai alapján szükséges kitölteni.</t>
  </si>
  <si>
    <r>
      <t>Szakértő neve és aláírása:</t>
    </r>
    <r>
      <rPr>
        <sz val="10"/>
        <color theme="5" tint="-0.499984740745262"/>
        <rFont val="Calibri"/>
        <family val="2"/>
        <charset val="238"/>
        <scheme val="minor"/>
      </rPr>
      <t xml:space="preserve"> </t>
    </r>
  </si>
  <si>
    <t>A bekeretezett részben a kölcsönigénylő illetve a kölcsönigénylő meghatalmazottja aláírásával nyilatkozik, hogy megismerte, elfogadta az energetikusi nyilatkozat tartalmát, s a projekt megvalósítására vonatkozóan betartja, betartatja azokat.</t>
  </si>
  <si>
    <t>Záró hiteles energetikai tanúsítvány HET száma</t>
  </si>
  <si>
    <t>01_Energetikai nyilatkozat</t>
  </si>
  <si>
    <t>02_Záró Energetikai nyilatkozat</t>
  </si>
  <si>
    <t>Energetikai tanúsítást végző természetes személy teljes neve</t>
  </si>
  <si>
    <t>Energetikai tanúsítást végző természetes személy jogosultsági száma</t>
  </si>
  <si>
    <t>Kölcsönigénylő neve</t>
  </si>
  <si>
    <t>teljes neve</t>
  </si>
  <si>
    <t xml:space="preserve">Energetikai tanúsítást végző természetes személy </t>
  </si>
  <si>
    <t>jogosultsági száma</t>
  </si>
  <si>
    <t>Tervezett korszerűsítések</t>
  </si>
  <si>
    <t>Megvalósítási helyszín pontos címe</t>
  </si>
  <si>
    <r>
      <t xml:space="preserve"> Összesített energetikai jellemző (kWh/m</t>
    </r>
    <r>
      <rPr>
        <vertAlign val="superscript"/>
        <sz val="10"/>
        <rFont val="Calibri"/>
        <family val="2"/>
        <charset val="238"/>
        <scheme val="minor"/>
      </rPr>
      <t>2</t>
    </r>
    <r>
      <rPr>
        <sz val="10"/>
        <rFont val="Calibri"/>
        <family val="2"/>
        <charset val="238"/>
        <scheme val="minor"/>
      </rPr>
      <t>év)</t>
    </r>
  </si>
  <si>
    <t>Megvalósítási helyszín pontos címe (irsz, helység, …, helyrajzi szám):</t>
  </si>
  <si>
    <t>Kérjük, rögzítse a kért adatokat.</t>
  </si>
  <si>
    <r>
      <t xml:space="preserve">Fűtött alapterület </t>
    </r>
    <r>
      <rPr>
        <sz val="10"/>
        <color theme="5" tint="-0.499984740745262"/>
        <rFont val="Calibri"/>
        <family val="2"/>
        <charset val="238"/>
        <scheme val="minor"/>
      </rPr>
      <t>(m</t>
    </r>
    <r>
      <rPr>
        <vertAlign val="superscript"/>
        <sz val="10"/>
        <color theme="5" tint="-0.499984740745262"/>
        <rFont val="Calibri"/>
        <family val="2"/>
        <charset val="238"/>
        <scheme val="minor"/>
      </rPr>
      <t>2</t>
    </r>
    <r>
      <rPr>
        <sz val="10"/>
        <color theme="5" tint="-0.499984740745262"/>
        <rFont val="Calibri"/>
        <family val="2"/>
        <charset val="238"/>
        <scheme val="minor"/>
      </rPr>
      <t>)</t>
    </r>
  </si>
  <si>
    <r>
      <t xml:space="preserve">Fajlagos primer energiafogyasztás vagy Összesített energetikai jellemző </t>
    </r>
    <r>
      <rPr>
        <sz val="10"/>
        <color theme="5" tint="-0.499984740745262"/>
        <rFont val="Calibri"/>
        <family val="2"/>
        <charset val="238"/>
        <scheme val="minor"/>
      </rPr>
      <t>(kWh/m</t>
    </r>
    <r>
      <rPr>
        <vertAlign val="superscript"/>
        <sz val="10"/>
        <color theme="5" tint="-0.499984740745262"/>
        <rFont val="Calibri"/>
        <family val="2"/>
        <charset val="238"/>
        <scheme val="minor"/>
      </rPr>
      <t>2</t>
    </r>
    <r>
      <rPr>
        <sz val="10"/>
        <color theme="5" tint="-0.499984740745262"/>
        <rFont val="Calibri"/>
        <family val="2"/>
        <charset val="238"/>
        <scheme val="minor"/>
      </rPr>
      <t>a)</t>
    </r>
  </si>
  <si>
    <r>
      <t>Fajlagos CO2 kibocsátás</t>
    </r>
    <r>
      <rPr>
        <sz val="10"/>
        <color theme="5" tint="-0.499984740745262"/>
        <rFont val="Calibri"/>
        <family val="2"/>
        <charset val="238"/>
        <scheme val="minor"/>
      </rPr>
      <t xml:space="preserve"> (kg/m</t>
    </r>
    <r>
      <rPr>
        <vertAlign val="superscript"/>
        <sz val="10"/>
        <color theme="5" tint="-0.499984740745262"/>
        <rFont val="Calibri"/>
        <family val="2"/>
        <charset val="238"/>
        <scheme val="minor"/>
      </rPr>
      <t>2</t>
    </r>
    <r>
      <rPr>
        <sz val="10"/>
        <color theme="5" tint="-0.499984740745262"/>
        <rFont val="Calibri"/>
        <family val="2"/>
        <charset val="238"/>
        <scheme val="minor"/>
      </rPr>
      <t>év)</t>
    </r>
  </si>
  <si>
    <r>
      <t xml:space="preserve">A lakóépület éves elsődleges energiafogyasztása </t>
    </r>
    <r>
      <rPr>
        <sz val="10"/>
        <color theme="5" tint="-0.499984740745262"/>
        <rFont val="Calibri"/>
        <family val="2"/>
        <charset val="238"/>
        <scheme val="minor"/>
      </rPr>
      <t>(kWh/év)</t>
    </r>
  </si>
  <si>
    <t>Adja meg a korszerűsítendő ingatlan alapterület méretét négyzetméterben!</t>
  </si>
  <si>
    <t>Korszerűsítéssel érintett ingatlan építésének éve</t>
  </si>
  <si>
    <t>Válassza ki minden tevékenység esetén a legördülő menüből a megvalósítni tervezett korszerűsítéseket.</t>
  </si>
  <si>
    <r>
      <t xml:space="preserve">A következő adatok esetében 
- a korszerűsítés előtti (kiinduló) állapot adatait az épület beruházás megvalósítását </t>
    </r>
    <r>
      <rPr>
        <b/>
        <sz val="10"/>
        <color theme="5" tint="-0.499984740745262"/>
        <rFont val="Calibri"/>
        <family val="2"/>
        <charset val="238"/>
        <scheme val="minor"/>
      </rPr>
      <t>MEGELŐZŐ (MEGLÉVŐ) ÁLLAPOT</t>
    </r>
    <r>
      <rPr>
        <sz val="10"/>
        <color theme="5" tint="-0.499984740745262"/>
        <rFont val="Calibri"/>
        <family val="2"/>
        <charset val="238"/>
        <scheme val="minor"/>
      </rPr>
      <t>ára vonatkozó, tanúsító program használatával készített, Hiteles Energetikai Tanúsítvány adatai alapján, 
- a korszerűsítés utáni (tervezett) állapot adatait pedig a  beruházás megvalósítását</t>
    </r>
    <r>
      <rPr>
        <b/>
        <sz val="10"/>
        <color theme="5" tint="-0.499984740745262"/>
        <rFont val="Calibri"/>
        <family val="2"/>
        <charset val="238"/>
        <scheme val="minor"/>
      </rPr>
      <t xml:space="preserve"> KÖVETŐ (TERVEZETT) ÁLLAPOT</t>
    </r>
    <r>
      <rPr>
        <sz val="10"/>
        <color theme="5" tint="-0.499984740745262"/>
        <rFont val="Calibri"/>
        <family val="2"/>
        <charset val="238"/>
        <scheme val="minor"/>
      </rPr>
      <t>ot rögzítő, tanúsító program használatával készített  energetikai számításának adatai alapján szükséges kitölteni.</t>
    </r>
  </si>
  <si>
    <t>IV. Energetikusi nyilatkozat</t>
  </si>
  <si>
    <t>IV. Energetikus nyilatkozata</t>
  </si>
  <si>
    <t>Energetikusnak szükséges aláírásával ellátva nyilatkoznia a pontoknak megfelelően a legördülő menü segítségével. A hivatkozott lakossági Eljárási Rendet megtalálja a palyazat.gov.hu termékoldalán a kapcsolódó dokumentumok között.</t>
  </si>
  <si>
    <t>A táblázat utolsó sorában szerepel az energiahatékonysági fejlesztések által elérhető primerenergia-felhasználás csökkenés aránya a kiinduló állapothoz képest (megújuló villamosenergia-termelés nélkül). Ahhoz, hogy a kérelem támogatható legyen, ennek az értéknek 30%-ot el kell érnie vagy meg kell haladnia.</t>
  </si>
  <si>
    <t>Kérjük, rögzítse a kitöltés helyét és dátumát, majd nyilatkozatát kinyomtatás után véglegesítse a dokumentum aláírásával. Nyilatkozat kinyomtatása előtt kérjük a táblázat további részében a Bázis érték(év)  mezőt kitölteni a lentiek szerint, illetve amennyiben lehetősége van a dátum és a tanúk adatait ne felejtse el kitölteni elektronikusan.</t>
  </si>
  <si>
    <r>
      <t xml:space="preserve">A 02_Záró energetikai nyilatkozat kitöltése megegyezik a 01_Enegetikai nyilatkozat kitöltésével azon különbségekkel, hogy az energetikusnak és a kölcsönigénylőnek szükséges nyilatkoznia a megvalósított beruházásról energetikai szempontból
-  az épület korszerűsítésének megvalósítását </t>
    </r>
    <r>
      <rPr>
        <b/>
        <sz val="10"/>
        <color theme="5" tint="-0.499984740745262"/>
        <rFont val="Calibri"/>
        <family val="2"/>
        <charset val="238"/>
        <scheme val="minor"/>
      </rPr>
      <t>MEGELŐZŐ (MEGLÉVŐ) ÁLLAPOT</t>
    </r>
    <r>
      <rPr>
        <sz val="10"/>
        <color theme="5" tint="-0.499984740745262"/>
        <rFont val="Calibri"/>
        <family val="2"/>
        <charset val="238"/>
        <scheme val="minor"/>
      </rPr>
      <t xml:space="preserve">ára vonatkozó, tanúsító program használatával készített, hitelesített energetikai tanúsítvány,
- a </t>
    </r>
    <r>
      <rPr>
        <b/>
        <sz val="10"/>
        <color theme="5" tint="-0.499984740745262"/>
        <rFont val="Calibri"/>
        <family val="2"/>
        <charset val="238"/>
        <scheme val="minor"/>
      </rPr>
      <t>MEGVALÓSÍTOTT</t>
    </r>
    <r>
      <rPr>
        <sz val="10"/>
        <color theme="5" tint="-0.499984740745262"/>
        <rFont val="Calibri"/>
        <family val="2"/>
        <charset val="238"/>
        <scheme val="minor"/>
      </rPr>
      <t xml:space="preserve"> állapotot rögzítő, tanúsító program használatával készített hiteles energetikai tanúsítvány adatai alapján. </t>
    </r>
  </si>
  <si>
    <t>A kölcsönigénylő neve és a megvalósítási helyszín címe automatikusan kitöltésre kerül a 01_Energetikai nyilatkozat alapján.</t>
  </si>
  <si>
    <t>A korszerűsítéssel érintett ingatlan (megvalósítási helyszín) építésének éve</t>
  </si>
  <si>
    <t xml:space="preserve">Rögzítse a korszerűsíteni kívánt ingatlan pontos címét, az ingatlan helyrajzi számát is. </t>
  </si>
  <si>
    <t>Energiahatékonysági fejlesztések által elért primerenergia-felhasználás csökkenés aránya a kiinduló állapothoz képest (megújuló villamosenergia-termelés nélkül) - amennyiben ez az érték nem éri el vagy haladja meg a 30%-ot, akkor a projekt szabálytalanná válik és a finanszírozási összeg visszakövetelésre kerül.</t>
  </si>
  <si>
    <t>ENERGETIKAI NYILATKOZATOK</t>
  </si>
  <si>
    <t xml:space="preserve">KÉRJÜK, HOGY A NYILATKOZATOKAT ELEKTRONIKUSAN TÖLTSE KI, MIVEL A NYOMTATVÁNYOK AUTOMATIKUS SZÁMÍTÁSOKAT TARTALMAZNAK. NYOMTASSA KI ÉS CSATOLJA A KÖLCSÖNKÉRELEMHEZ! </t>
  </si>
  <si>
    <r>
      <t xml:space="preserve">Az energetikusnak és a kölcsönigénylőnek szükséges nyilatkoznia a megvalósítandó beruházásról energetikai szempontból
- az épület beruházás megvalósítását </t>
    </r>
    <r>
      <rPr>
        <b/>
        <sz val="10"/>
        <color theme="5" tint="-0.499984740745262"/>
        <rFont val="Calibri"/>
        <family val="2"/>
        <charset val="238"/>
        <scheme val="minor"/>
      </rPr>
      <t>MEGELŐZŐ (MEGLÉVŐ) ÁLLAPOT</t>
    </r>
    <r>
      <rPr>
        <sz val="10"/>
        <color theme="5" tint="-0.499984740745262"/>
        <rFont val="Calibri"/>
        <family val="2"/>
        <charset val="238"/>
        <scheme val="minor"/>
      </rPr>
      <t xml:space="preserve">ára vonatkozó, tanúsító program használatával készített, hitelesített energetikai tanúsítvány,
- a beruházást </t>
    </r>
    <r>
      <rPr>
        <b/>
        <sz val="10"/>
        <color theme="5" tint="-0.499984740745262"/>
        <rFont val="Calibri"/>
        <family val="2"/>
        <charset val="238"/>
        <scheme val="minor"/>
      </rPr>
      <t>KÖVETŐ (TERVEZETT)</t>
    </r>
    <r>
      <rPr>
        <sz val="10"/>
        <color theme="5" tint="-0.499984740745262"/>
        <rFont val="Calibri"/>
        <family val="2"/>
        <charset val="238"/>
        <scheme val="minor"/>
      </rPr>
      <t xml:space="preserve"> állapotot rögzítő, tanúsító program használatával készített nem hiteles energetikai előtanúsítvány adatai alapján hasznos alapterület növekedéssel járó, saját költségen végrehajtandó épületbővítésekhez, -átalakításokhoz, -átépítésekhez kapcsolódó energetikai felújításokat figyelembe véve.</t>
    </r>
  </si>
  <si>
    <t>Az épület energiaigényének meghatározását a beruházási helyszínen végzett helyszíni felmérések, valamint az elvégzett energetikai számítások alapján határoztam meg.</t>
  </si>
  <si>
    <t>Megfelelek a Felhívásban meghatározott, az energetikai szakértőkkel szemben támasztott követelményeknek.</t>
  </si>
  <si>
    <t>Kérem, hogy az MFB Pont Plusz az energetikai tanúsítással érintett épület adatait és a fejlesztés hatására elért megtakarítások adatait az alábbiak szerint rögzítse a kölcsönügyletem esetében:</t>
  </si>
  <si>
    <t>A  dokumentum utolsó táblázatában a bázis érték(év) -nek a kérelem benyújtásának évét rögzítse. A cél érték(év) a projekt befejezésének éve.</t>
  </si>
  <si>
    <t>Megvalósított korszerűsítések</t>
  </si>
  <si>
    <t>Nem megújuló végső energia</t>
  </si>
  <si>
    <t>Megújuló végső energia</t>
  </si>
  <si>
    <t>KEHOP Plusz-4.1.7-24 OTTHONFELÚJÍTÁSI PROGRAM</t>
  </si>
  <si>
    <t>Fűtéskorszerűsítés (levegő-víz hőszivattyú, hőleadók)</t>
  </si>
  <si>
    <t xml:space="preserve">A vállalt energetikai fejlesztés(ek) megvalósult(ak), az(ok) megfelel(nek) a kölcsönkérelemhez benyújtott energetikai tanúsítvány(ok)ban és számításban foglaltaknak. Amennyiben a kölcsönkérelemhez benyújtott tervezett állapothoz képest változás történt, akkor új tervezett energetikai számítás készült és a záró nyilatkozattal benyújtott hiteles energetikai tanúsítványban foglaltak valósultak meg. </t>
  </si>
  <si>
    <t xml:space="preserve">Fűtéskorszerűsítés (levegő-víz hőszivattyú, hőleadók) </t>
  </si>
  <si>
    <t>Kérjük, adja meg a korszerűsítéssel érintett ingatlan építésének az évét, melynek korábbinak kell lennie, mint  2007. január 1.</t>
  </si>
  <si>
    <r>
      <t xml:space="preserve">Fosszilis energiahordozó alapú  (vegyes-, szén-, vagy gáztüzelésű) tüzelőberendezés, használati melegvíz rendszer korszerűsítés a Hitelprogram keretében nem támogatható az Európai Parlament és Tanács az Európai Regionális Fejlesztési Alapról és a Kohéziós Alapról szóló (EU) 1058/2021 rendeletének 7. cikk (1) bekezdés h) pontja alapján, és ezen épületelemekre vonatkozó, projekten kívül elvégzett korszerűsítés által elért primerenergia-megtakarítás nem számítható bele a tervezett energetikai számításba a primerenergia-megtakarításba, ezért </t>
    </r>
    <r>
      <rPr>
        <b/>
        <sz val="10"/>
        <rFont val="Calibri"/>
        <family val="2"/>
        <charset val="238"/>
        <scheme val="minor"/>
      </rPr>
      <t>a tervezett állapotra vonatkozóan elkészült energetikai számítás nem tartalmaz új fosszilis energiahordozó alapú  tüzelőberendezés, fűtési-, használati melegvíz rendszer, vagy ezen rendszerhez kapcsolódó hőleadó korszerűsítésből származó megtakarítást</t>
    </r>
    <r>
      <rPr>
        <sz val="10"/>
        <rFont val="Calibri"/>
        <family val="2"/>
        <charset val="238"/>
        <scheme val="minor"/>
      </rPr>
      <t>.</t>
    </r>
  </si>
  <si>
    <t>2025. 10.15-től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</si>
</sst>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Ft&quot;_-;\-* #,##0.00\ &quot;Ft&quot;_-;_-* &quot;-&quot;??\ &quot;Ft&quot;_-;_-@_-"/>
    <numFmt numFmtId="164" formatCode="_-* #,##0.00\ _F_t_-;\-* #,##0.00\ _F_t_-;_-* &quot;-&quot;??\ _F_t_-;_-@_-"/>
    <numFmt numFmtId="165" formatCode="#,##0.000"/>
  </numFmts>
  <fonts count="43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4"/>
      <color rgb="FF00B05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sz val="12"/>
      <name val="Arial"/>
      <family val="2"/>
      <charset val="238"/>
    </font>
    <font>
      <sz val="10"/>
      <name val="Arial"/>
      <family val="2"/>
      <charset val="238"/>
    </font>
    <font>
      <sz val="8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0"/>
      <name val="Calibri"/>
      <family val="2"/>
      <charset val="238"/>
      <scheme val="minor"/>
    </font>
    <font>
      <sz val="11"/>
      <color theme="0" tint="-0.34998626667073579"/>
      <name val="Calibri"/>
      <family val="2"/>
      <charset val="238"/>
      <scheme val="minor"/>
    </font>
    <font>
      <b/>
      <sz val="10"/>
      <color rgb="FFC00000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b/>
      <sz val="14"/>
      <color theme="0" tint="-0.34998626667073579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i/>
      <sz val="14"/>
      <name val="Calibri"/>
      <family val="2"/>
      <charset val="238"/>
      <scheme val="minor"/>
    </font>
    <font>
      <b/>
      <sz val="14"/>
      <color theme="3"/>
      <name val="Calibri"/>
      <family val="2"/>
      <charset val="238"/>
      <scheme val="minor"/>
    </font>
    <font>
      <b/>
      <sz val="11"/>
      <color theme="5" tint="-0.249977111117893"/>
      <name val="Calibri"/>
      <family val="2"/>
      <charset val="238"/>
      <scheme val="minor"/>
    </font>
    <font>
      <sz val="10"/>
      <color theme="0"/>
      <name val="Calibri"/>
      <family val="2"/>
      <charset val="238"/>
      <scheme val="minor"/>
    </font>
    <font>
      <b/>
      <sz val="10"/>
      <color theme="0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vertAlign val="superscript"/>
      <sz val="10"/>
      <color theme="1"/>
      <name val="Calibri"/>
      <family val="2"/>
      <charset val="238"/>
      <scheme val="minor"/>
    </font>
    <font>
      <vertAlign val="subscript"/>
      <sz val="10"/>
      <name val="Calibri"/>
      <family val="2"/>
      <charset val="238"/>
      <scheme val="minor"/>
    </font>
    <font>
      <sz val="10"/>
      <color theme="0" tint="-0.34998626667073579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0"/>
      <color theme="5" tint="-0.499984740745262"/>
      <name val="Calibri"/>
      <family val="2"/>
      <charset val="238"/>
      <scheme val="minor"/>
    </font>
    <font>
      <sz val="10"/>
      <color theme="5" tint="-0.499984740745262"/>
      <name val="Calibri"/>
      <family val="2"/>
      <charset val="238"/>
      <scheme val="minor"/>
    </font>
    <font>
      <sz val="10"/>
      <color rgb="FF002060"/>
      <name val="Calibri"/>
      <family val="2"/>
      <charset val="238"/>
      <scheme val="minor"/>
    </font>
    <font>
      <sz val="10"/>
      <color theme="5" tint="-0.249977111117893"/>
      <name val="Calibri"/>
      <family val="2"/>
      <charset val="238"/>
      <scheme val="minor"/>
    </font>
    <font>
      <sz val="10"/>
      <color theme="4" tint="-0.249977111117893"/>
      <name val="Calibri"/>
      <family val="2"/>
      <charset val="238"/>
      <scheme val="minor"/>
    </font>
    <font>
      <vertAlign val="superscript"/>
      <sz val="10"/>
      <name val="Calibri"/>
      <family val="2"/>
      <charset val="238"/>
      <scheme val="minor"/>
    </font>
    <font>
      <vertAlign val="superscript"/>
      <sz val="10"/>
      <color theme="5" tint="-0.499984740745262"/>
      <name val="Calibri"/>
      <family val="2"/>
      <charset val="238"/>
      <scheme val="minor"/>
    </font>
    <font>
      <b/>
      <sz val="12"/>
      <color theme="5" tint="-0.499984740745262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b/>
      <sz val="10"/>
      <color theme="3"/>
      <name val="Calibri"/>
      <family val="2"/>
      <charset val="238"/>
      <scheme val="minor"/>
    </font>
    <font>
      <sz val="10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i/>
      <sz val="10"/>
      <color theme="4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auto="1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 style="thin">
        <color theme="5" tint="-0.24994659260841701"/>
      </left>
      <right/>
      <top style="thin">
        <color theme="5" tint="-0.24994659260841701"/>
      </top>
      <bottom style="thin">
        <color theme="5" tint="-0.24994659260841701"/>
      </bottom>
      <diagonal/>
    </border>
    <border>
      <left/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3" tint="0.39991454817346722"/>
      </left>
      <right style="medium">
        <color theme="3" tint="0.39994506668294322"/>
      </right>
      <top/>
      <bottom style="medium">
        <color theme="3" tint="0.39997558519241921"/>
      </bottom>
      <diagonal/>
    </border>
    <border>
      <left style="thin">
        <color theme="5" tint="-0.499984740745262"/>
      </left>
      <right/>
      <top style="thin">
        <color theme="5" tint="-0.499984740745262"/>
      </top>
      <bottom style="thin">
        <color theme="5" tint="-0.499984740745262"/>
      </bottom>
      <diagonal/>
    </border>
    <border>
      <left/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theme="5" tint="-0.24994659260841701"/>
      </left>
      <right/>
      <top style="thin">
        <color theme="5" tint="-0.24994659260841701"/>
      </top>
      <bottom/>
      <diagonal/>
    </border>
    <border>
      <left/>
      <right/>
      <top style="thin">
        <color theme="5" tint="-0.24994659260841701"/>
      </top>
      <bottom/>
      <diagonal/>
    </border>
    <border>
      <left/>
      <right style="thin">
        <color theme="5" tint="-0.24994659260841701"/>
      </right>
      <top style="thin">
        <color theme="5" tint="-0.24994659260841701"/>
      </top>
      <bottom/>
      <diagonal/>
    </border>
    <border>
      <left style="thin">
        <color theme="5" tint="-0.24994659260841701"/>
      </left>
      <right/>
      <top/>
      <bottom/>
      <diagonal/>
    </border>
    <border>
      <left/>
      <right style="thin">
        <color theme="5" tint="-0.24994659260841701"/>
      </right>
      <top/>
      <bottom/>
      <diagonal/>
    </border>
    <border>
      <left style="thin">
        <color theme="5" tint="-0.499984740745262"/>
      </left>
      <right style="thin">
        <color theme="5" tint="-0.499984740745262"/>
      </right>
      <top/>
      <bottom style="thin">
        <color theme="5" tint="-0.499984740745262"/>
      </bottom>
      <diagonal/>
    </border>
    <border>
      <left style="thin">
        <color theme="5" tint="-0.499984740745262"/>
      </left>
      <right/>
      <top style="thin">
        <color theme="5" tint="-0.499984740745262"/>
      </top>
      <bottom/>
      <diagonal/>
    </border>
    <border>
      <left/>
      <right/>
      <top style="thin">
        <color theme="5" tint="-0.499984740745262"/>
      </top>
      <bottom/>
      <diagonal/>
    </border>
    <border>
      <left/>
      <right style="thin">
        <color theme="5" tint="-0.499984740745262"/>
      </right>
      <top style="thin">
        <color theme="5" tint="-0.499984740745262"/>
      </top>
      <bottom/>
      <diagonal/>
    </border>
    <border>
      <left/>
      <right/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5" tint="-0.24994659260841701"/>
      </left>
      <right/>
      <top/>
      <bottom style="thin">
        <color theme="5" tint="-0.24994659260841701"/>
      </bottom>
      <diagonal/>
    </border>
    <border>
      <left/>
      <right/>
      <top/>
      <bottom style="thin">
        <color theme="5" tint="-0.24994659260841701"/>
      </bottom>
      <diagonal/>
    </border>
    <border>
      <left/>
      <right style="thin">
        <color theme="5" tint="-0.24994659260841701"/>
      </right>
      <top/>
      <bottom style="thin">
        <color theme="5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/>
      <right style="thin">
        <color theme="5" tint="-0.499984740745262"/>
      </right>
      <top/>
      <bottom style="thin">
        <color theme="5" tint="-0.2499465926084170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</borders>
  <cellStyleXfs count="6">
    <xf numFmtId="0" fontId="0" fillId="0" borderId="0"/>
    <xf numFmtId="0" fontId="7" fillId="0" borderId="0"/>
    <xf numFmtId="0" fontId="8" fillId="0" borderId="0"/>
    <xf numFmtId="44" fontId="10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60">
    <xf numFmtId="0" fontId="0" fillId="0" borderId="0" xfId="0"/>
    <xf numFmtId="0" fontId="4" fillId="2" borderId="0" xfId="0" applyFont="1" applyFill="1" applyAlignment="1" applyProtection="1">
      <alignment vertical="center" wrapText="1"/>
      <protection hidden="1"/>
    </xf>
    <xf numFmtId="0" fontId="2" fillId="2" borderId="0" xfId="0" applyFont="1" applyFill="1" applyAlignment="1" applyProtection="1">
      <alignment vertical="center" wrapText="1"/>
      <protection hidden="1"/>
    </xf>
    <xf numFmtId="0" fontId="5" fillId="2" borderId="0" xfId="0" applyFont="1" applyFill="1" applyAlignment="1" applyProtection="1">
      <alignment horizontal="center" vertical="center" wrapText="1"/>
      <protection hidden="1"/>
    </xf>
    <xf numFmtId="0" fontId="0" fillId="2" borderId="0" xfId="0" applyFill="1" applyAlignment="1" applyProtection="1">
      <alignment vertical="center"/>
      <protection hidden="1"/>
    </xf>
    <xf numFmtId="0" fontId="1" fillId="2" borderId="0" xfId="0" applyFont="1" applyFill="1" applyAlignment="1" applyProtection="1">
      <alignment horizontal="center" vertical="center" wrapText="1"/>
      <protection hidden="1"/>
    </xf>
    <xf numFmtId="0" fontId="0" fillId="0" borderId="0" xfId="0" applyAlignment="1" applyProtection="1">
      <alignment vertical="center"/>
      <protection hidden="1"/>
    </xf>
    <xf numFmtId="0" fontId="3" fillId="2" borderId="0" xfId="0" applyFont="1" applyFill="1" applyAlignment="1" applyProtection="1">
      <alignment vertical="center" wrapText="1"/>
      <protection hidden="1"/>
    </xf>
    <xf numFmtId="0" fontId="0" fillId="2" borderId="0" xfId="0" applyFill="1" applyProtection="1">
      <protection hidden="1"/>
    </xf>
    <xf numFmtId="0" fontId="0" fillId="2" borderId="0" xfId="0" applyFill="1" applyAlignment="1" applyProtection="1">
      <alignment horizontal="right"/>
      <protection hidden="1"/>
    </xf>
    <xf numFmtId="0" fontId="3" fillId="2" borderId="0" xfId="0" applyFont="1" applyFill="1" applyAlignment="1" applyProtection="1">
      <alignment horizontal="right" wrapText="1"/>
      <protection hidden="1"/>
    </xf>
    <xf numFmtId="0" fontId="3" fillId="2" borderId="0" xfId="0" applyFont="1" applyFill="1" applyAlignment="1" applyProtection="1">
      <alignment wrapText="1"/>
      <protection hidden="1"/>
    </xf>
    <xf numFmtId="0" fontId="4" fillId="2" borderId="0" xfId="0" applyFont="1" applyFill="1" applyAlignment="1" applyProtection="1">
      <alignment horizontal="justify" vertical="center" wrapText="1"/>
      <protection hidden="1"/>
    </xf>
    <xf numFmtId="0" fontId="13" fillId="3" borderId="0" xfId="0" applyFont="1" applyFill="1" applyAlignment="1" applyProtection="1">
      <alignment vertical="center"/>
      <protection hidden="1"/>
    </xf>
    <xf numFmtId="0" fontId="0" fillId="0" borderId="0" xfId="0" applyAlignment="1" applyProtection="1">
      <alignment vertical="center" wrapText="1"/>
      <protection hidden="1"/>
    </xf>
    <xf numFmtId="0" fontId="19" fillId="2" borderId="0" xfId="0" applyFont="1" applyFill="1" applyAlignment="1" applyProtection="1">
      <alignment wrapText="1"/>
      <protection hidden="1"/>
    </xf>
    <xf numFmtId="0" fontId="18" fillId="0" borderId="0" xfId="0" applyFont="1" applyAlignment="1" applyProtection="1">
      <alignment vertical="center"/>
      <protection hidden="1"/>
    </xf>
    <xf numFmtId="0" fontId="22" fillId="2" borderId="0" xfId="0" applyFont="1" applyFill="1" applyAlignment="1" applyProtection="1">
      <alignment vertical="center" wrapText="1"/>
      <protection hidden="1"/>
    </xf>
    <xf numFmtId="0" fontId="6" fillId="2" borderId="0" xfId="0" applyFont="1" applyFill="1" applyAlignment="1" applyProtection="1">
      <alignment vertical="center" wrapText="1"/>
      <protection hidden="1"/>
    </xf>
    <xf numFmtId="0" fontId="18" fillId="0" borderId="0" xfId="0" applyFont="1" applyAlignment="1" applyProtection="1">
      <alignment wrapText="1"/>
      <protection hidden="1"/>
    </xf>
    <xf numFmtId="0" fontId="23" fillId="2" borderId="0" xfId="0" applyFont="1" applyFill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49" fontId="6" fillId="2" borderId="0" xfId="0" applyNumberFormat="1" applyFont="1" applyFill="1" applyAlignment="1" applyProtection="1">
      <alignment vertical="center"/>
      <protection hidden="1"/>
    </xf>
    <xf numFmtId="0" fontId="17" fillId="0" borderId="0" xfId="0" applyFont="1" applyAlignment="1" applyProtection="1">
      <alignment vertical="center" wrapText="1"/>
      <protection hidden="1"/>
    </xf>
    <xf numFmtId="0" fontId="17" fillId="0" borderId="0" xfId="0" applyFont="1" applyAlignment="1" applyProtection="1">
      <alignment horizontal="right" wrapText="1"/>
      <protection hidden="1"/>
    </xf>
    <xf numFmtId="0" fontId="13" fillId="0" borderId="0" xfId="0" applyFont="1" applyAlignment="1" applyProtection="1">
      <alignment vertical="center"/>
      <protection hidden="1"/>
    </xf>
    <xf numFmtId="0" fontId="27" fillId="0" borderId="0" xfId="0" applyFont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left" vertical="center" wrapText="1"/>
      <protection hidden="1"/>
    </xf>
    <xf numFmtId="0" fontId="6" fillId="2" borderId="0" xfId="0" applyFont="1" applyFill="1" applyAlignment="1" applyProtection="1">
      <alignment horizontal="left" vertical="center" wrapText="1"/>
      <protection hidden="1"/>
    </xf>
    <xf numFmtId="0" fontId="4" fillId="2" borderId="0" xfId="0" applyFont="1" applyFill="1" applyAlignment="1" applyProtection="1">
      <alignment horizontal="center" vertical="center" wrapText="1"/>
      <protection hidden="1"/>
    </xf>
    <xf numFmtId="0" fontId="16" fillId="2" borderId="0" xfId="0" applyFont="1" applyFill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13" fillId="0" borderId="0" xfId="0" applyFont="1" applyAlignment="1" applyProtection="1">
      <alignment horizontal="right"/>
      <protection hidden="1"/>
    </xf>
    <xf numFmtId="9" fontId="28" fillId="0" borderId="0" xfId="0" applyNumberFormat="1" applyFont="1"/>
    <xf numFmtId="0" fontId="28" fillId="0" borderId="0" xfId="0" applyFont="1"/>
    <xf numFmtId="4" fontId="28" fillId="0" borderId="0" xfId="0" applyNumberFormat="1" applyFont="1"/>
    <xf numFmtId="0" fontId="18" fillId="7" borderId="0" xfId="0" applyFont="1" applyFill="1" applyProtection="1">
      <protection hidden="1"/>
    </xf>
    <xf numFmtId="0" fontId="18" fillId="7" borderId="0" xfId="0" applyFont="1" applyFill="1" applyAlignment="1" applyProtection="1">
      <alignment horizontal="justify"/>
      <protection hidden="1"/>
    </xf>
    <xf numFmtId="0" fontId="0" fillId="0" borderId="0" xfId="0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 wrapText="1"/>
      <protection hidden="1"/>
    </xf>
    <xf numFmtId="0" fontId="18" fillId="0" borderId="8" xfId="0" applyFont="1" applyBorder="1" applyAlignment="1" applyProtection="1">
      <alignment horizontal="center" vertical="center" wrapText="1"/>
      <protection hidden="1"/>
    </xf>
    <xf numFmtId="4" fontId="6" fillId="0" borderId="8" xfId="0" applyNumberFormat="1" applyFont="1" applyBorder="1" applyAlignment="1" applyProtection="1">
      <alignment vertical="center" wrapText="1"/>
      <protection hidden="1"/>
    </xf>
    <xf numFmtId="4" fontId="12" fillId="0" borderId="8" xfId="0" applyNumberFormat="1" applyFont="1" applyBorder="1" applyAlignment="1" applyProtection="1">
      <alignment vertical="center" wrapText="1"/>
      <protection hidden="1"/>
    </xf>
    <xf numFmtId="0" fontId="12" fillId="5" borderId="9" xfId="0" applyFont="1" applyFill="1" applyBorder="1" applyAlignment="1" applyProtection="1">
      <alignment horizontal="center" vertical="center" wrapText="1"/>
      <protection locked="0" hidden="1"/>
    </xf>
    <xf numFmtId="0" fontId="14" fillId="0" borderId="12" xfId="0" applyFont="1" applyBorder="1" applyAlignment="1" applyProtection="1">
      <alignment vertical="center" wrapText="1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23" fillId="6" borderId="16" xfId="0" applyFont="1" applyFill="1" applyBorder="1" applyAlignment="1">
      <alignment horizontal="center" vertical="center"/>
    </xf>
    <xf numFmtId="0" fontId="32" fillId="2" borderId="0" xfId="0" applyFont="1" applyFill="1" applyAlignment="1" applyProtection="1">
      <alignment horizontal="right" wrapText="1"/>
      <protection hidden="1"/>
    </xf>
    <xf numFmtId="14" fontId="32" fillId="0" borderId="0" xfId="0" applyNumberFormat="1" applyFont="1" applyAlignment="1" applyProtection="1">
      <alignment wrapText="1"/>
      <protection hidden="1"/>
    </xf>
    <xf numFmtId="0" fontId="6" fillId="0" borderId="7" xfId="0" applyFont="1" applyBorder="1" applyAlignment="1" applyProtection="1">
      <alignment horizontal="center" vertical="center" wrapText="1"/>
      <protection hidden="1"/>
    </xf>
    <xf numFmtId="0" fontId="18" fillId="0" borderId="0" xfId="0" applyFont="1" applyAlignment="1" applyProtection="1">
      <alignment vertical="center" wrapText="1"/>
      <protection hidden="1"/>
    </xf>
    <xf numFmtId="0" fontId="24" fillId="0" borderId="0" xfId="0" applyFont="1" applyAlignment="1" applyProtection="1">
      <alignment vertical="center" wrapText="1"/>
      <protection hidden="1"/>
    </xf>
    <xf numFmtId="0" fontId="24" fillId="0" borderId="0" xfId="0" applyFont="1" applyAlignment="1" applyProtection="1">
      <alignment vertical="center"/>
      <protection hidden="1"/>
    </xf>
    <xf numFmtId="0" fontId="6" fillId="2" borderId="0" xfId="0" applyFont="1" applyFill="1" applyAlignment="1" applyProtection="1">
      <alignment horizontal="center" vertical="center" wrapText="1"/>
      <protection hidden="1"/>
    </xf>
    <xf numFmtId="0" fontId="18" fillId="2" borderId="0" xfId="0" applyFont="1" applyFill="1" applyAlignment="1" applyProtection="1">
      <alignment vertical="center"/>
      <protection hidden="1"/>
    </xf>
    <xf numFmtId="0" fontId="18" fillId="2" borderId="0" xfId="0" applyFont="1" applyFill="1" applyAlignment="1" applyProtection="1">
      <alignment vertical="center" wrapText="1"/>
      <protection hidden="1"/>
    </xf>
    <xf numFmtId="0" fontId="6" fillId="2" borderId="1" xfId="0" applyFont="1" applyFill="1" applyBorder="1" applyAlignment="1" applyProtection="1">
      <alignment vertical="center" wrapText="1"/>
      <protection hidden="1"/>
    </xf>
    <xf numFmtId="0" fontId="12" fillId="2" borderId="0" xfId="0" applyFont="1" applyFill="1" applyAlignment="1" applyProtection="1">
      <alignment vertical="center" wrapText="1"/>
      <protection hidden="1"/>
    </xf>
    <xf numFmtId="0" fontId="12" fillId="2" borderId="0" xfId="0" applyFont="1" applyFill="1" applyAlignment="1" applyProtection="1">
      <alignment wrapText="1"/>
      <protection hidden="1"/>
    </xf>
    <xf numFmtId="0" fontId="6" fillId="2" borderId="18" xfId="0" applyFont="1" applyFill="1" applyBorder="1" applyAlignment="1" applyProtection="1">
      <alignment vertical="center" wrapText="1"/>
      <protection hidden="1"/>
    </xf>
    <xf numFmtId="0" fontId="6" fillId="2" borderId="18" xfId="0" applyFont="1" applyFill="1" applyBorder="1" applyAlignment="1" applyProtection="1">
      <alignment horizontal="left" vertical="center" wrapText="1"/>
      <protection hidden="1"/>
    </xf>
    <xf numFmtId="0" fontId="6" fillId="2" borderId="19" xfId="0" applyFont="1" applyFill="1" applyBorder="1" applyAlignment="1" applyProtection="1">
      <alignment vertical="center" wrapText="1"/>
      <protection hidden="1"/>
    </xf>
    <xf numFmtId="0" fontId="33" fillId="2" borderId="0" xfId="0" applyFont="1" applyFill="1" applyAlignment="1" applyProtection="1">
      <alignment horizontal="left" vertical="center" wrapText="1"/>
      <protection hidden="1"/>
    </xf>
    <xf numFmtId="0" fontId="18" fillId="0" borderId="12" xfId="0" applyFont="1" applyBorder="1" applyAlignment="1">
      <alignment vertical="center"/>
    </xf>
    <xf numFmtId="2" fontId="6" fillId="2" borderId="12" xfId="0" applyNumberFormat="1" applyFont="1" applyFill="1" applyBorder="1" applyAlignment="1" applyProtection="1">
      <alignment horizontal="right" vertical="center" wrapText="1" indent="1"/>
      <protection hidden="1"/>
    </xf>
    <xf numFmtId="0" fontId="18" fillId="0" borderId="0" xfId="0" applyFont="1" applyProtection="1">
      <protection hidden="1"/>
    </xf>
    <xf numFmtId="0" fontId="6" fillId="0" borderId="0" xfId="0" applyFont="1" applyAlignment="1" applyProtection="1">
      <alignment vertical="center"/>
      <protection hidden="1"/>
    </xf>
    <xf numFmtId="0" fontId="18" fillId="0" borderId="3" xfId="0" applyFont="1" applyBorder="1" applyAlignment="1" applyProtection="1">
      <alignment horizontal="center" vertical="center" wrapText="1"/>
      <protection hidden="1"/>
    </xf>
    <xf numFmtId="0" fontId="6" fillId="0" borderId="23" xfId="0" applyFont="1" applyBorder="1" applyAlignment="1" applyProtection="1">
      <alignment vertical="center" wrapText="1"/>
      <protection hidden="1"/>
    </xf>
    <xf numFmtId="0" fontId="18" fillId="0" borderId="24" xfId="0" applyFont="1" applyBorder="1" applyAlignment="1" applyProtection="1">
      <alignment horizontal="center" vertical="center"/>
      <protection hidden="1"/>
    </xf>
    <xf numFmtId="49" fontId="6" fillId="0" borderId="25" xfId="0" applyNumberFormat="1" applyFont="1" applyBorder="1" applyAlignment="1" applyProtection="1">
      <alignment horizontal="left" vertical="center"/>
      <protection hidden="1"/>
    </xf>
    <xf numFmtId="0" fontId="6" fillId="2" borderId="8" xfId="0" applyFont="1" applyFill="1" applyBorder="1" applyAlignment="1" applyProtection="1">
      <alignment horizontal="center" vertical="center" wrapText="1"/>
      <protection hidden="1"/>
    </xf>
    <xf numFmtId="4" fontId="6" fillId="2" borderId="8" xfId="0" applyNumberFormat="1" applyFont="1" applyFill="1" applyBorder="1" applyAlignment="1" applyProtection="1">
      <alignment vertical="center" wrapText="1"/>
      <protection hidden="1"/>
    </xf>
    <xf numFmtId="0" fontId="6" fillId="2" borderId="7" xfId="0" applyFont="1" applyFill="1" applyBorder="1" applyAlignment="1" applyProtection="1">
      <alignment horizontal="center" vertical="center" wrapText="1"/>
      <protection hidden="1"/>
    </xf>
    <xf numFmtId="4" fontId="6" fillId="0" borderId="7" xfId="0" applyNumberFormat="1" applyFont="1" applyBorder="1" applyAlignment="1" applyProtection="1">
      <alignment horizontal="left" vertical="center" wrapText="1"/>
      <protection hidden="1"/>
    </xf>
    <xf numFmtId="4" fontId="6" fillId="0" borderId="7" xfId="0" applyNumberFormat="1" applyFont="1" applyBorder="1" applyAlignment="1" applyProtection="1">
      <alignment vertical="center" wrapText="1"/>
      <protection hidden="1"/>
    </xf>
    <xf numFmtId="4" fontId="12" fillId="0" borderId="7" xfId="0" applyNumberFormat="1" applyFont="1" applyBorder="1" applyAlignment="1" applyProtection="1">
      <alignment vertical="center" wrapText="1"/>
      <protection hidden="1"/>
    </xf>
    <xf numFmtId="0" fontId="12" fillId="0" borderId="7" xfId="0" applyFont="1" applyBorder="1" applyAlignment="1">
      <alignment horizontal="center" vertical="center"/>
    </xf>
    <xf numFmtId="0" fontId="6" fillId="2" borderId="7" xfId="0" applyFont="1" applyFill="1" applyBorder="1" applyAlignment="1" applyProtection="1">
      <alignment horizontal="right" vertical="center" wrapText="1" indent="1"/>
      <protection hidden="1"/>
    </xf>
    <xf numFmtId="2" fontId="6" fillId="2" borderId="7" xfId="0" applyNumberFormat="1" applyFont="1" applyFill="1" applyBorder="1" applyAlignment="1" applyProtection="1">
      <alignment horizontal="right" vertical="center" wrapText="1" indent="1"/>
      <protection hidden="1"/>
    </xf>
    <xf numFmtId="2" fontId="6" fillId="0" borderId="7" xfId="0" applyNumberFormat="1" applyFont="1" applyBorder="1" applyAlignment="1" applyProtection="1">
      <alignment horizontal="right" vertical="center" wrapText="1" indent="1"/>
      <protection hidden="1"/>
    </xf>
    <xf numFmtId="0" fontId="6" fillId="0" borderId="5" xfId="0" applyFont="1" applyBorder="1" applyAlignment="1" applyProtection="1">
      <alignment vertical="center" wrapText="1"/>
      <protection hidden="1"/>
    </xf>
    <xf numFmtId="0" fontId="6" fillId="0" borderId="7" xfId="0" applyFont="1" applyBorder="1" applyAlignment="1" applyProtection="1">
      <alignment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12" fillId="2" borderId="0" xfId="0" applyFont="1" applyFill="1" applyAlignment="1" applyProtection="1">
      <alignment horizontal="center" vertical="center" wrapText="1"/>
      <protection hidden="1"/>
    </xf>
    <xf numFmtId="0" fontId="6" fillId="0" borderId="7" xfId="0" applyFont="1" applyBorder="1" applyAlignment="1">
      <alignment vertical="center"/>
    </xf>
    <xf numFmtId="0" fontId="12" fillId="0" borderId="7" xfId="0" applyFont="1" applyBorder="1" applyAlignment="1" applyProtection="1">
      <alignment vertical="center" wrapText="1"/>
      <protection hidden="1"/>
    </xf>
    <xf numFmtId="0" fontId="6" fillId="0" borderId="3" xfId="0" applyFont="1" applyBorder="1" applyAlignment="1" applyProtection="1">
      <alignment horizontal="center" vertical="center" wrapText="1"/>
      <protection hidden="1"/>
    </xf>
    <xf numFmtId="14" fontId="32" fillId="2" borderId="0" xfId="0" applyNumberFormat="1" applyFont="1" applyFill="1" applyAlignment="1" applyProtection="1">
      <alignment horizontal="left" wrapText="1"/>
      <protection hidden="1"/>
    </xf>
    <xf numFmtId="0" fontId="6" fillId="0" borderId="30" xfId="0" applyFont="1" applyBorder="1" applyAlignment="1" applyProtection="1">
      <alignment horizontal="center" vertical="center" wrapText="1"/>
      <protection hidden="1"/>
    </xf>
    <xf numFmtId="165" fontId="40" fillId="0" borderId="30" xfId="0" applyNumberFormat="1" applyFont="1" applyBorder="1" applyAlignment="1" applyProtection="1">
      <alignment horizontal="center" vertical="center" wrapText="1"/>
      <protection locked="0"/>
    </xf>
    <xf numFmtId="0" fontId="39" fillId="5" borderId="8" xfId="0" applyFont="1" applyFill="1" applyBorder="1" applyAlignment="1" applyProtection="1">
      <alignment vertical="center" wrapText="1"/>
      <protection locked="0"/>
    </xf>
    <xf numFmtId="4" fontId="39" fillId="0" borderId="8" xfId="0" applyNumberFormat="1" applyFont="1" applyBorder="1" applyAlignment="1" applyProtection="1">
      <alignment vertical="center" wrapText="1"/>
      <protection locked="0"/>
    </xf>
    <xf numFmtId="0" fontId="40" fillId="5" borderId="8" xfId="0" applyFont="1" applyFill="1" applyBorder="1" applyAlignment="1" applyProtection="1">
      <alignment horizontal="center" vertical="center" wrapText="1"/>
      <protection locked="0"/>
    </xf>
    <xf numFmtId="1" fontId="39" fillId="0" borderId="12" xfId="0" applyNumberFormat="1" applyFont="1" applyBorder="1" applyAlignment="1" applyProtection="1">
      <alignment horizontal="center" vertical="center" wrapText="1"/>
      <protection locked="0"/>
    </xf>
    <xf numFmtId="1" fontId="39" fillId="0" borderId="12" xfId="0" applyNumberFormat="1" applyFont="1" applyBorder="1" applyAlignment="1" applyProtection="1">
      <alignment horizontal="center" vertical="center" wrapText="1"/>
      <protection hidden="1"/>
    </xf>
    <xf numFmtId="0" fontId="39" fillId="5" borderId="7" xfId="0" applyFont="1" applyFill="1" applyBorder="1" applyAlignment="1" applyProtection="1">
      <alignment vertical="center" wrapText="1"/>
      <protection locked="0"/>
    </xf>
    <xf numFmtId="4" fontId="39" fillId="0" borderId="7" xfId="0" applyNumberFormat="1" applyFont="1" applyBorder="1" applyAlignment="1" applyProtection="1">
      <alignment vertical="center" wrapText="1"/>
      <protection locked="0"/>
    </xf>
    <xf numFmtId="0" fontId="40" fillId="0" borderId="7" xfId="0" applyFont="1" applyBorder="1" applyAlignment="1" applyProtection="1">
      <alignment horizontal="center" vertical="center" wrapText="1"/>
      <protection locked="0"/>
    </xf>
    <xf numFmtId="0" fontId="39" fillId="0" borderId="7" xfId="0" applyFont="1" applyBorder="1" applyAlignment="1" applyProtection="1">
      <alignment horizontal="center" vertical="center"/>
      <protection locked="0"/>
    </xf>
    <xf numFmtId="0" fontId="39" fillId="0" borderId="7" xfId="0" applyFont="1" applyBorder="1" applyAlignment="1" applyProtection="1">
      <alignment horizontal="center" vertical="center"/>
      <protection hidden="1"/>
    </xf>
    <xf numFmtId="0" fontId="29" fillId="0" borderId="33" xfId="0" applyFont="1" applyBorder="1" applyAlignment="1" applyProtection="1">
      <alignment horizontal="justify" vertical="center"/>
      <protection hidden="1"/>
    </xf>
    <xf numFmtId="0" fontId="30" fillId="2" borderId="33" xfId="0" applyFont="1" applyFill="1" applyBorder="1" applyAlignment="1" applyProtection="1">
      <alignment horizontal="justify" vertical="center"/>
      <protection hidden="1"/>
    </xf>
    <xf numFmtId="0" fontId="30" fillId="0" borderId="33" xfId="0" applyFont="1" applyBorder="1" applyAlignment="1" applyProtection="1">
      <alignment horizontal="justify" vertical="center" wrapText="1"/>
      <protection hidden="1"/>
    </xf>
    <xf numFmtId="0" fontId="23" fillId="6" borderId="33" xfId="0" applyFont="1" applyFill="1" applyBorder="1" applyAlignment="1" applyProtection="1">
      <alignment horizontal="justify" vertical="center"/>
      <protection hidden="1"/>
    </xf>
    <xf numFmtId="0" fontId="31" fillId="6" borderId="33" xfId="0" applyFont="1" applyFill="1" applyBorder="1" applyAlignment="1" applyProtection="1">
      <alignment horizontal="justify" vertical="center" wrapText="1"/>
      <protection hidden="1"/>
    </xf>
    <xf numFmtId="0" fontId="29" fillId="2" borderId="33" xfId="0" applyFont="1" applyFill="1" applyBorder="1" applyAlignment="1" applyProtection="1">
      <alignment horizontal="justify" vertical="center"/>
      <protection hidden="1"/>
    </xf>
    <xf numFmtId="0" fontId="30" fillId="2" borderId="34" xfId="0" applyFont="1" applyFill="1" applyBorder="1" applyAlignment="1" applyProtection="1">
      <alignment horizontal="right" vertical="center"/>
      <protection hidden="1"/>
    </xf>
    <xf numFmtId="14" fontId="30" fillId="2" borderId="35" xfId="0" applyNumberFormat="1" applyFont="1" applyFill="1" applyBorder="1" applyAlignment="1" applyProtection="1">
      <alignment horizontal="justify" vertical="center" wrapText="1"/>
      <protection hidden="1"/>
    </xf>
    <xf numFmtId="0" fontId="30" fillId="2" borderId="34" xfId="0" applyFont="1" applyFill="1" applyBorder="1" applyAlignment="1" applyProtection="1">
      <alignment horizontal="justify" vertical="top" wrapText="1"/>
      <protection hidden="1"/>
    </xf>
    <xf numFmtId="0" fontId="30" fillId="2" borderId="35" xfId="0" applyFont="1" applyFill="1" applyBorder="1" applyAlignment="1" applyProtection="1">
      <alignment horizontal="justify" vertical="top" wrapText="1"/>
      <protection hidden="1"/>
    </xf>
    <xf numFmtId="4" fontId="6" fillId="2" borderId="12" xfId="0" applyNumberFormat="1" applyFont="1" applyFill="1" applyBorder="1" applyAlignment="1" applyProtection="1">
      <alignment horizontal="right" vertical="center" wrapText="1" indent="1"/>
      <protection hidden="1"/>
    </xf>
    <xf numFmtId="4" fontId="6" fillId="0" borderId="12" xfId="0" applyNumberFormat="1" applyFont="1" applyBorder="1" applyAlignment="1" applyProtection="1">
      <alignment horizontal="right" vertical="center" wrapText="1" indent="1"/>
      <protection hidden="1"/>
    </xf>
    <xf numFmtId="3" fontId="6" fillId="2" borderId="12" xfId="0" applyNumberFormat="1" applyFont="1" applyFill="1" applyBorder="1" applyAlignment="1" applyProtection="1">
      <alignment horizontal="right" vertical="center" wrapText="1" indent="1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2" borderId="27" xfId="0" applyFont="1" applyFill="1" applyBorder="1" applyAlignment="1" applyProtection="1">
      <alignment vertical="center" wrapText="1"/>
      <protection hidden="1"/>
    </xf>
    <xf numFmtId="0" fontId="6" fillId="0" borderId="0" xfId="0" applyFont="1" applyAlignment="1" applyProtection="1">
      <alignment vertical="center" wrapText="1"/>
      <protection hidden="1"/>
    </xf>
    <xf numFmtId="0" fontId="5" fillId="2" borderId="18" xfId="0" applyFont="1" applyFill="1" applyBorder="1" applyAlignment="1" applyProtection="1">
      <alignment vertical="center" wrapText="1"/>
      <protection hidden="1"/>
    </xf>
    <xf numFmtId="0" fontId="6" fillId="0" borderId="8" xfId="0" applyFont="1" applyBorder="1" applyAlignment="1" applyProtection="1">
      <alignment horizontal="center" vertical="center" wrapText="1"/>
      <protection hidden="1"/>
    </xf>
    <xf numFmtId="0" fontId="20" fillId="2" borderId="0" xfId="0" applyFont="1" applyFill="1" applyAlignment="1" applyProtection="1">
      <alignment horizontal="center" vertical="center" wrapText="1"/>
      <protection hidden="1"/>
    </xf>
    <xf numFmtId="0" fontId="36" fillId="2" borderId="33" xfId="0" applyFont="1" applyFill="1" applyBorder="1" applyAlignment="1" applyProtection="1">
      <alignment horizontal="center" vertical="center" wrapText="1"/>
      <protection hidden="1"/>
    </xf>
    <xf numFmtId="0" fontId="29" fillId="2" borderId="33" xfId="0" applyFont="1" applyFill="1" applyBorder="1" applyAlignment="1" applyProtection="1">
      <alignment horizontal="justify" vertical="center" wrapText="1"/>
      <protection hidden="1"/>
    </xf>
    <xf numFmtId="0" fontId="29" fillId="5" borderId="33" xfId="0" applyFont="1" applyFill="1" applyBorder="1" applyAlignment="1" applyProtection="1">
      <alignment horizontal="justify" vertical="center" wrapText="1"/>
      <protection hidden="1"/>
    </xf>
    <xf numFmtId="0" fontId="23" fillId="6" borderId="33" xfId="0" applyFont="1" applyFill="1" applyBorder="1" applyAlignment="1" applyProtection="1">
      <alignment horizontal="justify" vertical="center"/>
      <protection hidden="1"/>
    </xf>
    <xf numFmtId="0" fontId="22" fillId="6" borderId="33" xfId="0" applyFont="1" applyFill="1" applyBorder="1" applyAlignment="1" applyProtection="1">
      <alignment horizontal="justify" vertical="center"/>
      <protection hidden="1"/>
    </xf>
    <xf numFmtId="0" fontId="15" fillId="8" borderId="33" xfId="0" applyFont="1" applyFill="1" applyBorder="1" applyAlignment="1" applyProtection="1">
      <alignment horizontal="justify" vertical="center"/>
      <protection hidden="1"/>
    </xf>
    <xf numFmtId="0" fontId="30" fillId="2" borderId="33" xfId="0" applyFont="1" applyFill="1" applyBorder="1" applyAlignment="1" applyProtection="1">
      <alignment horizontal="justify" vertical="center" wrapText="1"/>
      <protection hidden="1"/>
    </xf>
    <xf numFmtId="0" fontId="30" fillId="0" borderId="33" xfId="0" applyFont="1" applyBorder="1" applyAlignment="1" applyProtection="1">
      <alignment horizontal="justify" vertical="center" wrapText="1"/>
      <protection hidden="1"/>
    </xf>
    <xf numFmtId="0" fontId="30" fillId="2" borderId="33" xfId="0" applyFont="1" applyFill="1" applyBorder="1" applyAlignment="1" applyProtection="1">
      <alignment horizontal="left" vertical="center"/>
      <protection hidden="1"/>
    </xf>
    <xf numFmtId="0" fontId="23" fillId="6" borderId="33" xfId="0" applyFont="1" applyFill="1" applyBorder="1" applyAlignment="1" applyProtection="1">
      <alignment horizontal="justify" vertical="center" wrapText="1"/>
      <protection hidden="1"/>
    </xf>
    <xf numFmtId="0" fontId="30" fillId="2" borderId="33" xfId="0" applyFont="1" applyFill="1" applyBorder="1" applyAlignment="1" applyProtection="1">
      <alignment horizontal="left" vertical="top" wrapText="1"/>
      <protection hidden="1"/>
    </xf>
    <xf numFmtId="0" fontId="30" fillId="2" borderId="33" xfId="0" applyFont="1" applyFill="1" applyBorder="1" applyAlignment="1" applyProtection="1">
      <alignment horizontal="justify" vertical="top" wrapText="1"/>
      <protection hidden="1"/>
    </xf>
    <xf numFmtId="0" fontId="38" fillId="2" borderId="20" xfId="0" applyFont="1" applyFill="1" applyBorder="1" applyAlignment="1" applyProtection="1">
      <alignment horizontal="left" vertical="center" wrapText="1"/>
      <protection hidden="1"/>
    </xf>
    <xf numFmtId="0" fontId="15" fillId="4" borderId="8" xfId="0" applyFont="1" applyFill="1" applyBorder="1" applyAlignment="1" applyProtection="1">
      <alignment horizontal="left" vertical="center" wrapText="1"/>
      <protection hidden="1"/>
    </xf>
    <xf numFmtId="0" fontId="6" fillId="2" borderId="8" xfId="0" applyFont="1" applyFill="1" applyBorder="1" applyAlignment="1" applyProtection="1">
      <alignment horizontal="center" vertical="center" wrapText="1"/>
      <protection hidden="1"/>
    </xf>
    <xf numFmtId="0" fontId="15" fillId="0" borderId="19" xfId="0" applyFont="1" applyBorder="1" applyAlignment="1" applyProtection="1">
      <alignment horizontal="left" vertical="center" wrapText="1"/>
      <protection hidden="1"/>
    </xf>
    <xf numFmtId="0" fontId="15" fillId="0" borderId="31" xfId="0" applyFont="1" applyBorder="1" applyAlignment="1" applyProtection="1">
      <alignment horizontal="left" vertical="center" wrapText="1"/>
      <protection hidden="1"/>
    </xf>
    <xf numFmtId="0" fontId="15" fillId="0" borderId="17" xfId="0" applyFont="1" applyBorder="1" applyAlignment="1" applyProtection="1">
      <alignment horizontal="left" vertical="center" wrapText="1"/>
      <protection hidden="1"/>
    </xf>
    <xf numFmtId="0" fontId="6" fillId="2" borderId="7" xfId="0" applyFont="1" applyFill="1" applyBorder="1" applyAlignment="1" applyProtection="1">
      <alignment horizontal="left" vertical="center" wrapText="1"/>
      <protection hidden="1"/>
    </xf>
    <xf numFmtId="1" fontId="39" fillId="0" borderId="7" xfId="0" applyNumberFormat="1" applyFont="1" applyBorder="1" applyAlignment="1" applyProtection="1">
      <alignment horizontal="left" vertical="center" wrapText="1"/>
      <protection locked="0"/>
    </xf>
    <xf numFmtId="44" fontId="15" fillId="4" borderId="8" xfId="3" applyFont="1" applyFill="1" applyBorder="1" applyAlignment="1" applyProtection="1">
      <alignment horizontal="left" vertical="center" wrapText="1"/>
      <protection hidden="1"/>
    </xf>
    <xf numFmtId="0" fontId="24" fillId="0" borderId="30" xfId="0" applyFont="1" applyBorder="1" applyAlignment="1" applyProtection="1">
      <alignment horizontal="left" vertical="center" wrapText="1"/>
      <protection hidden="1"/>
    </xf>
    <xf numFmtId="4" fontId="6" fillId="0" borderId="8" xfId="0" applyNumberFormat="1" applyFont="1" applyBorder="1" applyAlignment="1" applyProtection="1">
      <alignment horizontal="left" vertical="center" wrapText="1"/>
      <protection hidden="1"/>
    </xf>
    <xf numFmtId="4" fontId="39" fillId="0" borderId="8" xfId="0" applyNumberFormat="1" applyFont="1" applyBorder="1" applyAlignment="1" applyProtection="1">
      <alignment horizontal="center" vertical="center" wrapText="1"/>
      <protection locked="0"/>
    </xf>
    <xf numFmtId="4" fontId="12" fillId="0" borderId="8" xfId="0" applyNumberFormat="1" applyFont="1" applyBorder="1" applyAlignment="1" applyProtection="1">
      <alignment horizontal="left" vertical="center" wrapText="1"/>
      <protection hidden="1"/>
    </xf>
    <xf numFmtId="4" fontId="12" fillId="0" borderId="8" xfId="0" applyNumberFormat="1" applyFont="1" applyBorder="1" applyAlignment="1" applyProtection="1">
      <alignment horizontal="center" vertical="center" wrapText="1"/>
      <protection hidden="1"/>
    </xf>
    <xf numFmtId="0" fontId="18" fillId="0" borderId="8" xfId="0" applyFont="1" applyBorder="1" applyAlignment="1" applyProtection="1">
      <alignment horizontal="center" vertical="center" wrapText="1"/>
      <protection hidden="1"/>
    </xf>
    <xf numFmtId="0" fontId="6" fillId="0" borderId="8" xfId="0" applyFont="1" applyBorder="1" applyAlignment="1" applyProtection="1">
      <alignment horizontal="left" vertical="center"/>
      <protection hidden="1"/>
    </xf>
    <xf numFmtId="0" fontId="38" fillId="2" borderId="32" xfId="0" applyFont="1" applyFill="1" applyBorder="1" applyAlignment="1" applyProtection="1">
      <alignment horizontal="center" vertical="center" wrapText="1"/>
      <protection hidden="1"/>
    </xf>
    <xf numFmtId="0" fontId="27" fillId="0" borderId="10" xfId="0" applyFont="1" applyBorder="1" applyAlignment="1" applyProtection="1">
      <alignment horizontal="center" vertical="center"/>
      <protection hidden="1"/>
    </xf>
    <xf numFmtId="0" fontId="27" fillId="0" borderId="11" xfId="0" applyFont="1" applyBorder="1" applyAlignment="1" applyProtection="1">
      <alignment horizontal="center" vertical="center"/>
      <protection hidden="1"/>
    </xf>
    <xf numFmtId="0" fontId="18" fillId="0" borderId="4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left" vertical="center"/>
      <protection hidden="1"/>
    </xf>
    <xf numFmtId="0" fontId="18" fillId="0" borderId="0" xfId="0" applyFont="1" applyAlignment="1" applyProtection="1">
      <alignment horizontal="center" vertical="center"/>
      <protection hidden="1"/>
    </xf>
    <xf numFmtId="0" fontId="39" fillId="0" borderId="3" xfId="0" applyFont="1" applyBorder="1" applyAlignment="1" applyProtection="1">
      <alignment horizontal="center" vertical="center" wrapText="1"/>
      <protection locked="0"/>
    </xf>
    <xf numFmtId="0" fontId="18" fillId="2" borderId="0" xfId="0" applyFont="1" applyFill="1" applyAlignment="1" applyProtection="1">
      <alignment horizontal="center" vertical="top" wrapText="1"/>
      <protection hidden="1"/>
    </xf>
    <xf numFmtId="0" fontId="12" fillId="0" borderId="4" xfId="0" applyFont="1" applyBorder="1" applyAlignment="1" applyProtection="1">
      <alignment horizontal="center" vertical="center"/>
      <protection hidden="1"/>
    </xf>
    <xf numFmtId="0" fontId="39" fillId="0" borderId="3" xfId="0" applyFont="1" applyBorder="1" applyAlignment="1" applyProtection="1">
      <alignment horizontal="left" wrapText="1"/>
      <protection locked="0"/>
    </xf>
    <xf numFmtId="10" fontId="38" fillId="0" borderId="12" xfId="5" applyNumberFormat="1" applyFont="1" applyFill="1" applyBorder="1" applyAlignment="1" applyProtection="1">
      <alignment horizontal="center" vertical="center" wrapText="1"/>
      <protection hidden="1"/>
    </xf>
    <xf numFmtId="0" fontId="6" fillId="2" borderId="12" xfId="0" applyFont="1" applyFill="1" applyBorder="1" applyAlignment="1" applyProtection="1">
      <alignment horizontal="justify" vertical="center" wrapText="1"/>
      <protection hidden="1"/>
    </xf>
    <xf numFmtId="0" fontId="38" fillId="0" borderId="12" xfId="0" applyFont="1" applyBorder="1" applyAlignment="1" applyProtection="1">
      <alignment horizontal="justify" vertical="center" wrapText="1"/>
      <protection hidden="1"/>
    </xf>
    <xf numFmtId="0" fontId="38" fillId="0" borderId="43" xfId="0" applyFont="1" applyBorder="1" applyAlignment="1" applyProtection="1">
      <alignment horizontal="center" vertical="center" wrapText="1"/>
      <protection hidden="1"/>
    </xf>
    <xf numFmtId="0" fontId="20" fillId="0" borderId="0" xfId="0" applyFont="1" applyAlignment="1" applyProtection="1">
      <alignment horizontal="center"/>
      <protection hidden="1"/>
    </xf>
    <xf numFmtId="0" fontId="21" fillId="2" borderId="0" xfId="0" applyFont="1" applyFill="1" applyAlignment="1" applyProtection="1">
      <alignment horizontal="center" vertical="center" wrapText="1"/>
      <protection hidden="1"/>
    </xf>
    <xf numFmtId="0" fontId="15" fillId="6" borderId="7" xfId="0" applyFont="1" applyFill="1" applyBorder="1" applyAlignment="1" applyProtection="1">
      <alignment horizontal="left" vertical="center" wrapText="1"/>
      <protection hidden="1"/>
    </xf>
    <xf numFmtId="0" fontId="39" fillId="0" borderId="7" xfId="0" applyFont="1" applyBorder="1" applyAlignment="1" applyProtection="1">
      <alignment horizontal="left" vertical="center" wrapText="1"/>
      <protection locked="0"/>
    </xf>
    <xf numFmtId="0" fontId="6" fillId="0" borderId="7" xfId="0" applyFont="1" applyBorder="1" applyAlignment="1" applyProtection="1">
      <alignment horizontal="left" vertical="center" wrapText="1"/>
      <protection hidden="1"/>
    </xf>
    <xf numFmtId="0" fontId="6" fillId="0" borderId="8" xfId="0" applyFont="1" applyBorder="1" applyAlignment="1" applyProtection="1">
      <alignment horizontal="center" vertical="center" wrapText="1"/>
      <protection hidden="1"/>
    </xf>
    <xf numFmtId="0" fontId="6" fillId="2" borderId="22" xfId="0" applyFont="1" applyFill="1" applyBorder="1" applyAlignment="1" applyProtection="1">
      <alignment horizontal="left" vertical="center" wrapText="1"/>
      <protection hidden="1"/>
    </xf>
    <xf numFmtId="0" fontId="23" fillId="6" borderId="13" xfId="0" applyFont="1" applyFill="1" applyBorder="1" applyAlignment="1">
      <alignment horizontal="center" vertical="center"/>
    </xf>
    <xf numFmtId="0" fontId="23" fillId="6" borderId="14" xfId="0" applyFont="1" applyFill="1" applyBorder="1" applyAlignment="1">
      <alignment horizontal="center" vertical="center"/>
    </xf>
    <xf numFmtId="0" fontId="23" fillId="6" borderId="15" xfId="0" applyFont="1" applyFill="1" applyBorder="1" applyAlignment="1">
      <alignment horizontal="center" vertical="center"/>
    </xf>
    <xf numFmtId="0" fontId="6" fillId="2" borderId="20" xfId="0" applyFont="1" applyFill="1" applyBorder="1" applyAlignment="1" applyProtection="1">
      <alignment horizontal="justify" vertical="center" wrapText="1"/>
      <protection hidden="1"/>
    </xf>
    <xf numFmtId="0" fontId="6" fillId="2" borderId="0" xfId="0" applyFont="1" applyFill="1" applyAlignment="1" applyProtection="1">
      <alignment horizontal="justify" vertical="center" wrapText="1"/>
      <protection hidden="1"/>
    </xf>
    <xf numFmtId="0" fontId="6" fillId="2" borderId="21" xfId="0" applyFont="1" applyFill="1" applyBorder="1" applyAlignment="1" applyProtection="1">
      <alignment horizontal="justify" vertical="center" wrapText="1"/>
      <protection hidden="1"/>
    </xf>
    <xf numFmtId="0" fontId="12" fillId="2" borderId="20" xfId="0" applyFont="1" applyFill="1" applyBorder="1" applyAlignment="1" applyProtection="1">
      <alignment horizontal="justify" vertical="top" wrapText="1"/>
      <protection hidden="1"/>
    </xf>
    <xf numFmtId="0" fontId="12" fillId="2" borderId="0" xfId="0" applyFont="1" applyFill="1" applyAlignment="1" applyProtection="1">
      <alignment horizontal="justify" vertical="top" wrapText="1"/>
      <protection hidden="1"/>
    </xf>
    <xf numFmtId="0" fontId="12" fillId="2" borderId="21" xfId="0" applyFont="1" applyFill="1" applyBorder="1" applyAlignment="1" applyProtection="1">
      <alignment horizontal="justify" vertical="top" wrapText="1"/>
      <protection hidden="1"/>
    </xf>
    <xf numFmtId="4" fontId="6" fillId="0" borderId="20" xfId="0" applyNumberFormat="1" applyFont="1" applyBorder="1" applyAlignment="1" applyProtection="1">
      <alignment horizontal="center" vertical="center" wrapText="1"/>
      <protection hidden="1"/>
    </xf>
    <xf numFmtId="4" fontId="6" fillId="0" borderId="0" xfId="0" applyNumberFormat="1" applyFont="1" applyAlignment="1" applyProtection="1">
      <alignment horizontal="center" vertical="center" wrapText="1"/>
      <protection hidden="1"/>
    </xf>
    <xf numFmtId="0" fontId="6" fillId="0" borderId="24" xfId="0" applyFont="1" applyBorder="1" applyAlignment="1" applyProtection="1">
      <alignment horizontal="center" vertical="center" wrapText="1"/>
      <protection hidden="1"/>
    </xf>
    <xf numFmtId="0" fontId="6" fillId="0" borderId="24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justify" vertical="center" wrapText="1"/>
      <protection hidden="1"/>
    </xf>
    <xf numFmtId="0" fontId="6" fillId="2" borderId="8" xfId="0" applyFont="1" applyFill="1" applyBorder="1" applyAlignment="1" applyProtection="1">
      <alignment horizontal="justify" vertical="center" wrapText="1"/>
      <protection hidden="1"/>
    </xf>
    <xf numFmtId="0" fontId="12" fillId="2" borderId="2" xfId="0" applyFont="1" applyFill="1" applyBorder="1" applyAlignment="1" applyProtection="1">
      <alignment horizontal="center" wrapText="1"/>
      <protection hidden="1"/>
    </xf>
    <xf numFmtId="0" fontId="39" fillId="5" borderId="1" xfId="0" applyFont="1" applyFill="1" applyBorder="1" applyAlignment="1" applyProtection="1">
      <alignment horizontal="center" vertical="center" wrapText="1"/>
      <protection locked="0"/>
    </xf>
    <xf numFmtId="0" fontId="6" fillId="2" borderId="0" xfId="0" applyFont="1" applyFill="1" applyAlignment="1" applyProtection="1">
      <alignment horizontal="left" vertical="center" wrapText="1"/>
      <protection hidden="1"/>
    </xf>
    <xf numFmtId="0" fontId="6" fillId="2" borderId="21" xfId="0" applyFont="1" applyFill="1" applyBorder="1" applyAlignment="1" applyProtection="1">
      <alignment horizontal="left" vertical="center" wrapText="1"/>
      <protection hidden="1"/>
    </xf>
    <xf numFmtId="0" fontId="6" fillId="2" borderId="17" xfId="0" applyFont="1" applyFill="1" applyBorder="1" applyAlignment="1" applyProtection="1">
      <alignment horizontal="left" vertical="center" wrapText="1"/>
      <protection hidden="1"/>
    </xf>
    <xf numFmtId="0" fontId="6" fillId="2" borderId="18" xfId="0" applyFont="1" applyFill="1" applyBorder="1" applyAlignment="1" applyProtection="1">
      <alignment horizontal="left" vertical="center" wrapText="1"/>
      <protection hidden="1"/>
    </xf>
    <xf numFmtId="0" fontId="6" fillId="2" borderId="0" xfId="0" applyFont="1" applyFill="1" applyAlignment="1" applyProtection="1">
      <alignment horizontal="center" vertical="center" wrapText="1"/>
      <protection hidden="1"/>
    </xf>
    <xf numFmtId="0" fontId="32" fillId="2" borderId="0" xfId="0" applyFont="1" applyFill="1" applyAlignment="1" applyProtection="1">
      <alignment horizontal="right" wrapText="1"/>
      <protection hidden="1"/>
    </xf>
    <xf numFmtId="0" fontId="41" fillId="0" borderId="7" xfId="0" applyFont="1" applyBorder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hidden="1"/>
    </xf>
    <xf numFmtId="0" fontId="15" fillId="4" borderId="5" xfId="0" applyFont="1" applyFill="1" applyBorder="1" applyAlignment="1" applyProtection="1">
      <alignment horizontal="left" vertical="center" wrapText="1"/>
      <protection hidden="1"/>
    </xf>
    <xf numFmtId="0" fontId="15" fillId="4" borderId="26" xfId="0" applyFont="1" applyFill="1" applyBorder="1" applyAlignment="1" applyProtection="1">
      <alignment horizontal="left" vertical="center" wrapText="1"/>
      <protection hidden="1"/>
    </xf>
    <xf numFmtId="0" fontId="15" fillId="4" borderId="6" xfId="0" applyFont="1" applyFill="1" applyBorder="1" applyAlignment="1" applyProtection="1">
      <alignment horizontal="left" vertical="center" wrapText="1"/>
      <protection hidden="1"/>
    </xf>
    <xf numFmtId="0" fontId="6" fillId="0" borderId="5" xfId="0" applyFont="1" applyBorder="1" applyAlignment="1" applyProtection="1">
      <alignment horizontal="center" vertical="center" wrapText="1"/>
      <protection hidden="1"/>
    </xf>
    <xf numFmtId="0" fontId="6" fillId="0" borderId="26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2" borderId="7" xfId="0" applyFont="1" applyFill="1" applyBorder="1" applyAlignment="1" applyProtection="1">
      <alignment horizontal="center" vertical="center" wrapText="1"/>
      <protection hidden="1"/>
    </xf>
    <xf numFmtId="0" fontId="6" fillId="0" borderId="7" xfId="0" applyFont="1" applyBorder="1" applyAlignment="1" applyProtection="1">
      <alignment horizontal="center" vertical="center" wrapText="1"/>
      <protection hidden="1"/>
    </xf>
    <xf numFmtId="4" fontId="6" fillId="0" borderId="7" xfId="0" applyNumberFormat="1" applyFont="1" applyBorder="1" applyAlignment="1" applyProtection="1">
      <alignment horizontal="left" vertical="center" wrapText="1"/>
      <protection hidden="1"/>
    </xf>
    <xf numFmtId="4" fontId="39" fillId="0" borderId="7" xfId="0" applyNumberFormat="1" applyFont="1" applyBorder="1" applyAlignment="1" applyProtection="1">
      <alignment horizontal="center" vertical="center" wrapText="1"/>
      <protection locked="0"/>
    </xf>
    <xf numFmtId="4" fontId="39" fillId="0" borderId="5" xfId="0" applyNumberFormat="1" applyFont="1" applyBorder="1" applyAlignment="1" applyProtection="1">
      <alignment horizontal="center" vertical="center" wrapText="1"/>
      <protection locked="0"/>
    </xf>
    <xf numFmtId="4" fontId="39" fillId="0" borderId="6" xfId="0" applyNumberFormat="1" applyFont="1" applyBorder="1" applyAlignment="1" applyProtection="1">
      <alignment horizontal="center" vertical="center" wrapText="1"/>
      <protection locked="0"/>
    </xf>
    <xf numFmtId="4" fontId="12" fillId="0" borderId="7" xfId="0" applyNumberFormat="1" applyFont="1" applyBorder="1" applyAlignment="1" applyProtection="1">
      <alignment horizontal="left" vertical="center"/>
      <protection hidden="1"/>
    </xf>
    <xf numFmtId="4" fontId="12" fillId="0" borderId="7" xfId="0" applyNumberFormat="1" applyFont="1" applyBorder="1" applyAlignment="1" applyProtection="1">
      <alignment horizontal="center" vertical="center" wrapText="1"/>
      <protection hidden="1"/>
    </xf>
    <xf numFmtId="4" fontId="6" fillId="0" borderId="7" xfId="0" applyNumberFormat="1" applyFont="1" applyBorder="1" applyAlignment="1" applyProtection="1">
      <alignment horizontal="left" vertical="center"/>
      <protection hidden="1"/>
    </xf>
    <xf numFmtId="0" fontId="12" fillId="0" borderId="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2" borderId="7" xfId="0" applyFont="1" applyFill="1" applyBorder="1" applyAlignment="1" applyProtection="1">
      <alignment horizontal="justify" vertical="center" wrapText="1"/>
      <protection hidden="1"/>
    </xf>
    <xf numFmtId="0" fontId="38" fillId="0" borderId="7" xfId="0" applyFont="1" applyBorder="1" applyAlignment="1" applyProtection="1">
      <alignment horizontal="justify" vertical="center" wrapText="1"/>
      <protection hidden="1"/>
    </xf>
    <xf numFmtId="4" fontId="12" fillId="0" borderId="2" xfId="0" applyNumberFormat="1" applyFont="1" applyBorder="1" applyAlignment="1" applyProtection="1">
      <alignment horizontal="center" vertical="center" wrapText="1"/>
      <protection hidden="1"/>
    </xf>
    <xf numFmtId="4" fontId="6" fillId="0" borderId="1" xfId="0" applyNumberFormat="1" applyFont="1" applyBorder="1" applyAlignment="1" applyProtection="1">
      <alignment horizontal="center" vertical="center" wrapText="1"/>
      <protection hidden="1"/>
    </xf>
    <xf numFmtId="0" fontId="39" fillId="5" borderId="1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center" vertical="center" wrapText="1"/>
      <protection hidden="1"/>
    </xf>
    <xf numFmtId="0" fontId="41" fillId="5" borderId="1" xfId="0" applyFont="1" applyFill="1" applyBorder="1" applyAlignment="1" applyProtection="1">
      <alignment horizontal="left" vertical="center" wrapText="1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hidden="1"/>
    </xf>
    <xf numFmtId="0" fontId="12" fillId="2" borderId="2" xfId="0" applyFont="1" applyFill="1" applyBorder="1" applyAlignment="1" applyProtection="1">
      <alignment horizontal="center" vertical="center" wrapText="1"/>
      <protection hidden="1"/>
    </xf>
    <xf numFmtId="0" fontId="6" fillId="0" borderId="7" xfId="0" applyFont="1" applyBorder="1" applyAlignment="1" applyProtection="1">
      <alignment horizontal="left" vertical="center"/>
      <protection hidden="1"/>
    </xf>
    <xf numFmtId="0" fontId="6" fillId="0" borderId="17" xfId="0" applyFont="1" applyBorder="1" applyAlignment="1" applyProtection="1">
      <alignment horizontal="left" vertical="center" wrapText="1"/>
      <protection hidden="1"/>
    </xf>
    <xf numFmtId="0" fontId="6" fillId="0" borderId="18" xfId="0" applyFont="1" applyBorder="1" applyAlignment="1" applyProtection="1">
      <alignment horizontal="left" vertical="center" wrapText="1"/>
      <protection hidden="1"/>
    </xf>
    <xf numFmtId="0" fontId="6" fillId="0" borderId="19" xfId="0" applyFont="1" applyBorder="1" applyAlignment="1" applyProtection="1">
      <alignment horizontal="left" vertical="center" wrapText="1"/>
      <protection hidden="1"/>
    </xf>
    <xf numFmtId="0" fontId="6" fillId="0" borderId="27" xfId="0" applyFont="1" applyBorder="1" applyAlignment="1" applyProtection="1">
      <alignment horizontal="left" vertical="center" wrapText="1"/>
      <protection hidden="1"/>
    </xf>
    <xf numFmtId="0" fontId="6" fillId="0" borderId="28" xfId="0" applyFont="1" applyBorder="1" applyAlignment="1" applyProtection="1">
      <alignment horizontal="left" vertical="center" wrapText="1"/>
      <protection hidden="1"/>
    </xf>
    <xf numFmtId="0" fontId="6" fillId="0" borderId="29" xfId="0" applyFont="1" applyBorder="1" applyAlignment="1" applyProtection="1">
      <alignment horizontal="left" vertical="center" wrapText="1"/>
      <protection hidden="1"/>
    </xf>
    <xf numFmtId="0" fontId="6" fillId="2" borderId="19" xfId="0" applyFont="1" applyFill="1" applyBorder="1" applyAlignment="1" applyProtection="1">
      <alignment horizontal="left" vertical="center" wrapText="1"/>
      <protection hidden="1"/>
    </xf>
    <xf numFmtId="0" fontId="42" fillId="2" borderId="20" xfId="0" applyFont="1" applyFill="1" applyBorder="1" applyAlignment="1" applyProtection="1">
      <alignment horizontal="center" vertical="center" wrapText="1"/>
      <protection locked="0"/>
    </xf>
    <xf numFmtId="0" fontId="42" fillId="2" borderId="0" xfId="0" applyFont="1" applyFill="1" applyAlignment="1" applyProtection="1">
      <alignment horizontal="center" vertical="center" wrapText="1"/>
      <protection locked="0"/>
    </xf>
    <xf numFmtId="49" fontId="6" fillId="2" borderId="0" xfId="0" applyNumberFormat="1" applyFont="1" applyFill="1" applyAlignment="1" applyProtection="1">
      <alignment horizontal="left" vertical="center"/>
      <protection hidden="1"/>
    </xf>
    <xf numFmtId="49" fontId="6" fillId="2" borderId="21" xfId="0" applyNumberFormat="1" applyFont="1" applyFill="1" applyBorder="1" applyAlignment="1" applyProtection="1">
      <alignment horizontal="left" vertical="center"/>
      <protection hidden="1"/>
    </xf>
    <xf numFmtId="10" fontId="38" fillId="0" borderId="7" xfId="5" applyNumberFormat="1" applyFont="1" applyFill="1" applyBorder="1" applyAlignment="1" applyProtection="1">
      <alignment horizontal="center" vertical="center" wrapText="1"/>
      <protection hidden="1"/>
    </xf>
    <xf numFmtId="0" fontId="39" fillId="2" borderId="0" xfId="0" applyFont="1" applyFill="1" applyAlignment="1" applyProtection="1">
      <alignment horizontal="center" vertical="center" wrapText="1"/>
      <protection locked="0"/>
    </xf>
    <xf numFmtId="0" fontId="6" fillId="2" borderId="28" xfId="0" applyFont="1" applyFill="1" applyBorder="1" applyAlignment="1" applyProtection="1">
      <alignment horizontal="left" vertical="center" wrapText="1"/>
      <protection hidden="1"/>
    </xf>
    <xf numFmtId="0" fontId="6" fillId="2" borderId="29" xfId="0" applyFont="1" applyFill="1" applyBorder="1" applyAlignment="1" applyProtection="1">
      <alignment horizontal="left" vertical="center" wrapText="1"/>
      <protection hidden="1"/>
    </xf>
    <xf numFmtId="0" fontId="6" fillId="0" borderId="5" xfId="0" applyFont="1" applyBorder="1" applyAlignment="1" applyProtection="1">
      <alignment horizontal="justify" vertical="center" wrapText="1"/>
      <protection hidden="1"/>
    </xf>
    <xf numFmtId="0" fontId="6" fillId="0" borderId="26" xfId="0" applyFont="1" applyBorder="1" applyAlignment="1" applyProtection="1">
      <alignment horizontal="justify" vertical="center" wrapText="1"/>
      <protection hidden="1"/>
    </xf>
    <xf numFmtId="0" fontId="6" fillId="0" borderId="6" xfId="0" applyFont="1" applyBorder="1" applyAlignment="1" applyProtection="1">
      <alignment horizontal="justify" vertical="center" wrapText="1"/>
      <protection hidden="1"/>
    </xf>
    <xf numFmtId="0" fontId="12" fillId="2" borderId="26" xfId="0" applyFont="1" applyFill="1" applyBorder="1" applyAlignment="1" applyProtection="1">
      <alignment horizontal="justify" vertical="center" wrapText="1"/>
      <protection hidden="1"/>
    </xf>
    <xf numFmtId="44" fontId="15" fillId="4" borderId="5" xfId="3" applyFont="1" applyFill="1" applyBorder="1" applyAlignment="1" applyProtection="1">
      <alignment horizontal="left" vertical="center" wrapText="1"/>
      <protection hidden="1"/>
    </xf>
    <xf numFmtId="44" fontId="15" fillId="4" borderId="26" xfId="3" applyFont="1" applyFill="1" applyBorder="1" applyAlignment="1" applyProtection="1">
      <alignment horizontal="left" vertical="center" wrapText="1"/>
      <protection hidden="1"/>
    </xf>
    <xf numFmtId="44" fontId="15" fillId="4" borderId="6" xfId="3" applyFont="1" applyFill="1" applyBorder="1" applyAlignment="1" applyProtection="1">
      <alignment horizontal="left" vertical="center" wrapText="1"/>
      <protection hidden="1"/>
    </xf>
    <xf numFmtId="0" fontId="24" fillId="0" borderId="37" xfId="0" applyFont="1" applyBorder="1" applyAlignment="1" applyProtection="1">
      <alignment horizontal="left" vertical="center" wrapText="1"/>
      <protection hidden="1"/>
    </xf>
    <xf numFmtId="0" fontId="24" fillId="0" borderId="38" xfId="0" applyFont="1" applyBorder="1" applyAlignment="1" applyProtection="1">
      <alignment horizontal="left" vertical="center" wrapText="1"/>
      <protection hidden="1"/>
    </xf>
    <xf numFmtId="0" fontId="24" fillId="0" borderId="39" xfId="0" applyFont="1" applyBorder="1" applyAlignment="1" applyProtection="1">
      <alignment horizontal="left" vertical="center" wrapText="1"/>
      <protection hidden="1"/>
    </xf>
    <xf numFmtId="0" fontId="24" fillId="0" borderId="40" xfId="0" applyFont="1" applyBorder="1" applyAlignment="1" applyProtection="1">
      <alignment horizontal="left" vertical="center" wrapText="1"/>
      <protection hidden="1"/>
    </xf>
    <xf numFmtId="0" fontId="24" fillId="0" borderId="41" xfId="0" applyFont="1" applyBorder="1" applyAlignment="1" applyProtection="1">
      <alignment horizontal="left" vertical="center" wrapText="1"/>
      <protection hidden="1"/>
    </xf>
    <xf numFmtId="0" fontId="24" fillId="0" borderId="42" xfId="0" applyFont="1" applyBorder="1" applyAlignment="1" applyProtection="1">
      <alignment horizontal="left" vertical="center" wrapText="1"/>
      <protection hidden="1"/>
    </xf>
    <xf numFmtId="0" fontId="5" fillId="2" borderId="38" xfId="0" applyFont="1" applyFill="1" applyBorder="1" applyAlignment="1" applyProtection="1">
      <alignment horizontal="center" vertical="center" wrapText="1"/>
      <protection hidden="1"/>
    </xf>
    <xf numFmtId="0" fontId="37" fillId="2" borderId="0" xfId="0" applyFont="1" applyFill="1" applyAlignment="1" applyProtection="1">
      <alignment horizontal="center" vertical="center" wrapText="1"/>
      <protection hidden="1"/>
    </xf>
    <xf numFmtId="0" fontId="5" fillId="2" borderId="18" xfId="0" applyFont="1" applyFill="1" applyBorder="1" applyAlignment="1" applyProtection="1">
      <alignment horizontal="center" vertical="center" wrapText="1"/>
      <protection hidden="1"/>
    </xf>
    <xf numFmtId="44" fontId="15" fillId="4" borderId="27" xfId="3" applyFont="1" applyFill="1" applyBorder="1" applyAlignment="1" applyProtection="1">
      <alignment horizontal="left" vertical="center" wrapText="1"/>
      <protection hidden="1"/>
    </xf>
    <xf numFmtId="44" fontId="15" fillId="4" borderId="28" xfId="3" applyFont="1" applyFill="1" applyBorder="1" applyAlignment="1" applyProtection="1">
      <alignment horizontal="left" vertical="center" wrapText="1"/>
      <protection hidden="1"/>
    </xf>
    <xf numFmtId="44" fontId="15" fillId="4" borderId="36" xfId="3" applyFont="1" applyFill="1" applyBorder="1" applyAlignment="1" applyProtection="1">
      <alignment horizontal="left" vertical="center" wrapText="1"/>
      <protection hidden="1"/>
    </xf>
    <xf numFmtId="0" fontId="12" fillId="0" borderId="0" xfId="0" applyFont="1" applyAlignment="1" applyProtection="1">
      <alignment horizontal="left" vertical="center"/>
      <protection hidden="1"/>
    </xf>
  </cellXfs>
  <cellStyles count="6">
    <cellStyle name="Ezres 2" xfId="4" xr:uid="{00000000-0005-0000-0000-000001000000}"/>
    <cellStyle name="Normál" xfId="0" builtinId="0"/>
    <cellStyle name="Normál 2" xfId="1" xr:uid="{00000000-0005-0000-0000-000004000000}"/>
    <cellStyle name="Normál 3" xfId="2" xr:uid="{00000000-0005-0000-0000-000005000000}"/>
    <cellStyle name="Pénznem" xfId="3" builtinId="4"/>
    <cellStyle name="Százalék" xfId="5" builtinId="5"/>
  </cellStyles>
  <dxfs count="45">
    <dxf>
      <fill>
        <patternFill>
          <bgColor theme="3" tint="0.79998168889431442"/>
        </patternFill>
      </fill>
    </dxf>
    <dxf>
      <font>
        <color theme="0"/>
      </font>
      <fill>
        <patternFill>
          <bgColor theme="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theme="0"/>
      </font>
    </dxf>
    <dxf>
      <font>
        <color theme="0"/>
      </font>
      <fill>
        <patternFill patternType="solid">
          <bgColor theme="0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3" tint="0.79998168889431442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theme="0"/>
      </font>
    </dxf>
    <dxf>
      <font>
        <color auto="1"/>
      </font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ont>
        <color auto="1"/>
      </font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FAF0E6"/>
      <color rgb="FF808080"/>
      <color rgb="FFFFC7CE"/>
      <color rgb="FF9C0006"/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255270</xdr:colOff>
      <xdr:row>0</xdr:row>
      <xdr:rowOff>743804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13549F6B-5B35-4C4A-ADC6-4969061EF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92375" cy="753329"/>
        </a:xfrm>
        <a:prstGeom prst="rect">
          <a:avLst/>
        </a:prstGeom>
      </xdr:spPr>
    </xdr:pic>
    <xdr:clientData/>
  </xdr:twoCellAnchor>
  <xdr:twoCellAnchor editAs="oneCell">
    <xdr:from>
      <xdr:col>1</xdr:col>
      <xdr:colOff>79374</xdr:colOff>
      <xdr:row>0</xdr:row>
      <xdr:rowOff>606425</xdr:rowOff>
    </xdr:from>
    <xdr:to>
      <xdr:col>1</xdr:col>
      <xdr:colOff>1049019</xdr:colOff>
      <xdr:row>4</xdr:row>
      <xdr:rowOff>98072</xdr:rowOff>
    </xdr:to>
    <xdr:pic>
      <xdr:nvPicPr>
        <xdr:cNvPr id="4" name="Kép 3">
          <a:extLst>
            <a:ext uri="{FF2B5EF4-FFF2-40B4-BE49-F238E27FC236}">
              <a16:creationId xmlns:a16="http://schemas.microsoft.com/office/drawing/2014/main" id="{1099397F-81B6-0B0C-929F-88B6CD676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199" y="606425"/>
          <a:ext cx="962025" cy="10042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3175</xdr:colOff>
      <xdr:row>0</xdr:row>
      <xdr:rowOff>749519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C612EF10-78A7-8150-E786-38CB8B3AD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92375" cy="7501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600075</xdr:rowOff>
    </xdr:from>
    <xdr:to>
      <xdr:col>2</xdr:col>
      <xdr:colOff>667385</xdr:colOff>
      <xdr:row>3</xdr:row>
      <xdr:rowOff>97437</xdr:rowOff>
    </xdr:to>
    <xdr:pic>
      <xdr:nvPicPr>
        <xdr:cNvPr id="4" name="Kép 3">
          <a:extLst>
            <a:ext uri="{FF2B5EF4-FFF2-40B4-BE49-F238E27FC236}">
              <a16:creationId xmlns:a16="http://schemas.microsoft.com/office/drawing/2014/main" id="{34C6D5C0-6838-401B-83D9-E89A293E7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600075"/>
          <a:ext cx="958850" cy="9978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MFB_Palette">
      <a:dk1>
        <a:sysClr val="windowText" lastClr="000000"/>
      </a:dk1>
      <a:lt1>
        <a:sysClr val="window" lastClr="FFFFFF"/>
      </a:lt1>
      <a:dk2>
        <a:srgbClr val="D95A27"/>
      </a:dk2>
      <a:lt2>
        <a:srgbClr val="C7C8C9"/>
      </a:lt2>
      <a:accent1>
        <a:srgbClr val="004564"/>
      </a:accent1>
      <a:accent2>
        <a:srgbClr val="A3A4A6"/>
      </a:accent2>
      <a:accent3>
        <a:srgbClr val="00BCB5"/>
      </a:accent3>
      <a:accent4>
        <a:srgbClr val="1F6972"/>
      </a:accent4>
      <a:accent5>
        <a:srgbClr val="EAE5C3"/>
      </a:accent5>
      <a:accent6>
        <a:srgbClr val="003046"/>
      </a:accent6>
      <a:hlink>
        <a:srgbClr val="D95A27"/>
      </a:hlink>
      <a:folHlink>
        <a:srgbClr val="00BCB5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Munka1">
    <tabColor theme="4"/>
  </sheetPr>
  <dimension ref="A1:J48"/>
  <sheetViews>
    <sheetView zoomScale="90" zoomScaleNormal="90" workbookViewId="0">
      <selection activeCell="E2" sqref="E2"/>
    </sheetView>
  </sheetViews>
  <sheetFormatPr defaultColWidth="8.7265625" defaultRowHeight="14.5" x14ac:dyDescent="0.35"/>
  <cols>
    <col min="1" max="3" width="8.7265625" style="34"/>
    <col min="4" max="4" width="23.26953125" style="34" bestFit="1" customWidth="1"/>
    <col min="5" max="16384" width="8.7265625" style="34"/>
  </cols>
  <sheetData>
    <row r="1" spans="1:10" ht="33" customHeight="1" x14ac:dyDescent="0.35">
      <c r="A1" s="33">
        <v>0</v>
      </c>
      <c r="B1" s="34" t="s">
        <v>60</v>
      </c>
      <c r="C1" s="34" t="s">
        <v>26</v>
      </c>
      <c r="D1" s="34" t="s">
        <v>77</v>
      </c>
      <c r="E1" s="35" t="s">
        <v>101</v>
      </c>
      <c r="F1" s="35"/>
      <c r="G1" s="35"/>
      <c r="H1" s="35"/>
      <c r="I1" s="35"/>
      <c r="J1" s="35"/>
    </row>
    <row r="2" spans="1:10" ht="44.25" customHeight="1" x14ac:dyDescent="0.35">
      <c r="A2" s="33">
        <v>0.05</v>
      </c>
      <c r="B2" s="34" t="s">
        <v>61</v>
      </c>
      <c r="C2" s="34" t="s">
        <v>24</v>
      </c>
      <c r="D2" s="34" t="s">
        <v>72</v>
      </c>
      <c r="E2" s="34" t="s">
        <v>102</v>
      </c>
    </row>
    <row r="3" spans="1:10" ht="30" customHeight="1" x14ac:dyDescent="0.35">
      <c r="A3" s="33">
        <v>0.18</v>
      </c>
      <c r="B3" s="34" t="s">
        <v>62</v>
      </c>
      <c r="C3" s="34" t="s">
        <v>56</v>
      </c>
      <c r="D3" s="34" t="s">
        <v>73</v>
      </c>
      <c r="E3" s="34" t="s">
        <v>100</v>
      </c>
    </row>
    <row r="4" spans="1:10" ht="27.75" customHeight="1" x14ac:dyDescent="0.35">
      <c r="A4" s="33">
        <v>0.27</v>
      </c>
      <c r="B4" s="34" t="s">
        <v>27</v>
      </c>
      <c r="D4" s="34" t="s">
        <v>74</v>
      </c>
      <c r="E4" s="34" t="s">
        <v>99</v>
      </c>
    </row>
    <row r="5" spans="1:10" x14ac:dyDescent="0.35">
      <c r="A5" s="33"/>
      <c r="B5" s="34" t="s">
        <v>28</v>
      </c>
      <c r="C5" s="34" t="s">
        <v>26</v>
      </c>
      <c r="D5" s="34" t="s">
        <v>78</v>
      </c>
    </row>
    <row r="6" spans="1:10" x14ac:dyDescent="0.35">
      <c r="A6" s="33"/>
      <c r="B6" s="34" t="s">
        <v>63</v>
      </c>
      <c r="C6" s="34" t="s">
        <v>24</v>
      </c>
    </row>
    <row r="7" spans="1:10" x14ac:dyDescent="0.35">
      <c r="B7" s="34" t="s">
        <v>64</v>
      </c>
      <c r="C7" s="34" t="s">
        <v>79</v>
      </c>
    </row>
    <row r="8" spans="1:10" x14ac:dyDescent="0.35">
      <c r="B8" s="34" t="s">
        <v>65</v>
      </c>
    </row>
    <row r="9" spans="1:10" x14ac:dyDescent="0.35">
      <c r="B9" s="34" t="s">
        <v>66</v>
      </c>
    </row>
    <row r="10" spans="1:10" x14ac:dyDescent="0.35">
      <c r="B10" s="34" t="s">
        <v>67</v>
      </c>
    </row>
    <row r="11" spans="1:10" x14ac:dyDescent="0.35">
      <c r="B11" s="34" t="s">
        <v>68</v>
      </c>
    </row>
    <row r="12" spans="1:10" x14ac:dyDescent="0.35">
      <c r="B12" s="34" t="s">
        <v>69</v>
      </c>
    </row>
    <row r="18" ht="15" customHeight="1" x14ac:dyDescent="0.35"/>
    <row r="19" ht="15" customHeight="1" x14ac:dyDescent="0.35"/>
    <row r="20" ht="15" customHeight="1" x14ac:dyDescent="0.35"/>
    <row r="21" ht="15" customHeight="1" x14ac:dyDescent="0.35"/>
    <row r="22" ht="15" customHeight="1" x14ac:dyDescent="0.35"/>
    <row r="23" ht="15" customHeight="1" x14ac:dyDescent="0.35"/>
    <row r="24" ht="15" customHeight="1" x14ac:dyDescent="0.35"/>
    <row r="25" ht="15" customHeight="1" x14ac:dyDescent="0.35"/>
    <row r="26" ht="15" customHeight="1" x14ac:dyDescent="0.35"/>
    <row r="27" ht="15" customHeight="1" x14ac:dyDescent="0.35"/>
    <row r="28" ht="15" customHeight="1" x14ac:dyDescent="0.35"/>
    <row r="29" ht="15" customHeight="1" x14ac:dyDescent="0.35"/>
    <row r="30" ht="15" customHeight="1" x14ac:dyDescent="0.35"/>
    <row r="31" ht="15" customHeight="1" x14ac:dyDescent="0.35"/>
    <row r="32" ht="15" customHeight="1" x14ac:dyDescent="0.35"/>
    <row r="33" ht="15" customHeight="1" x14ac:dyDescent="0.35"/>
    <row r="34" ht="15" customHeight="1" x14ac:dyDescent="0.35"/>
    <row r="38" ht="15" customHeight="1" x14ac:dyDescent="0.35"/>
    <row r="39" ht="15" customHeight="1" x14ac:dyDescent="0.35"/>
    <row r="48" ht="30" customHeight="1" x14ac:dyDescent="0.35"/>
  </sheetData>
  <sheetProtection selectLockedCells="1"/>
  <customSheetViews>
    <customSheetView guid="{396A034F-45B2-4D1D-91F6-7C5931F382F0}" topLeftCell="I14">
      <selection activeCell="S5" sqref="S5"/>
      <pageMargins left="0.7" right="0.7" top="0.75" bottom="0.75" header="0.3" footer="0.3"/>
      <pageSetup paperSize="9" orientation="portrait" r:id="rId1"/>
    </customSheetView>
  </customSheetView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DD4BB-8B37-4D21-8020-C9507599ED5E}">
  <sheetPr codeName="Munka2">
    <tabColor theme="5" tint="-0.499984740745262"/>
  </sheetPr>
  <dimension ref="A1:B37"/>
  <sheetViews>
    <sheetView showGridLines="0" zoomScaleNormal="100" workbookViewId="0">
      <selection activeCell="A7" sqref="A7:B7"/>
    </sheetView>
  </sheetViews>
  <sheetFormatPr defaultColWidth="9.1796875" defaultRowHeight="13" x14ac:dyDescent="0.3"/>
  <cols>
    <col min="1" max="1" width="34.1796875" style="37" customWidth="1"/>
    <col min="2" max="2" width="57.81640625" style="37" customWidth="1"/>
    <col min="3" max="3" width="33" style="36" customWidth="1"/>
    <col min="4" max="16384" width="9.1796875" style="36"/>
  </cols>
  <sheetData>
    <row r="1" spans="1:2" ht="18.5" x14ac:dyDescent="0.3">
      <c r="A1" s="119" t="s">
        <v>158</v>
      </c>
      <c r="B1" s="119"/>
    </row>
    <row r="2" spans="1:2" ht="15.5" x14ac:dyDescent="0.3">
      <c r="A2" s="120" t="s">
        <v>148</v>
      </c>
      <c r="B2" s="120"/>
    </row>
    <row r="3" spans="1:2" x14ac:dyDescent="0.3">
      <c r="A3" s="107" t="s">
        <v>29</v>
      </c>
      <c r="B3" s="108" t="s">
        <v>164</v>
      </c>
    </row>
    <row r="4" spans="1:2" ht="30.65" customHeight="1" x14ac:dyDescent="0.3">
      <c r="A4" s="121" t="s">
        <v>149</v>
      </c>
      <c r="B4" s="121"/>
    </row>
    <row r="5" spans="1:2" x14ac:dyDescent="0.3">
      <c r="A5" s="122" t="s">
        <v>104</v>
      </c>
      <c r="B5" s="122"/>
    </row>
    <row r="6" spans="1:2" ht="15.5" x14ac:dyDescent="0.3">
      <c r="A6" s="125" t="s">
        <v>117</v>
      </c>
      <c r="B6" s="125"/>
    </row>
    <row r="7" spans="1:2" ht="97" customHeight="1" x14ac:dyDescent="0.3">
      <c r="A7" s="126" t="s">
        <v>150</v>
      </c>
      <c r="B7" s="126"/>
    </row>
    <row r="8" spans="1:2" x14ac:dyDescent="0.3">
      <c r="A8" s="123" t="s">
        <v>107</v>
      </c>
      <c r="B8" s="124"/>
    </row>
    <row r="9" spans="1:2" ht="26" x14ac:dyDescent="0.3">
      <c r="A9" s="101" t="s">
        <v>119</v>
      </c>
      <c r="B9" s="128" t="s">
        <v>129</v>
      </c>
    </row>
    <row r="10" spans="1:2" ht="26" x14ac:dyDescent="0.3">
      <c r="A10" s="101" t="s">
        <v>120</v>
      </c>
      <c r="B10" s="128"/>
    </row>
    <row r="11" spans="1:2" ht="26" x14ac:dyDescent="0.3">
      <c r="A11" s="101" t="s">
        <v>108</v>
      </c>
      <c r="B11" s="128"/>
    </row>
    <row r="12" spans="1:2" x14ac:dyDescent="0.3">
      <c r="A12" s="101" t="s">
        <v>121</v>
      </c>
      <c r="B12" s="128"/>
    </row>
    <row r="13" spans="1:2" ht="26" x14ac:dyDescent="0.3">
      <c r="A13" s="101" t="s">
        <v>126</v>
      </c>
      <c r="B13" s="102" t="s">
        <v>146</v>
      </c>
    </row>
    <row r="14" spans="1:2" ht="26" x14ac:dyDescent="0.3">
      <c r="A14" s="101" t="s">
        <v>145</v>
      </c>
      <c r="B14" s="102" t="s">
        <v>162</v>
      </c>
    </row>
    <row r="15" spans="1:2" ht="26" x14ac:dyDescent="0.3">
      <c r="A15" s="101" t="s">
        <v>25</v>
      </c>
      <c r="B15" s="102" t="s">
        <v>136</v>
      </c>
    </row>
    <row r="16" spans="1:2" x14ac:dyDescent="0.3">
      <c r="A16" s="123" t="s">
        <v>109</v>
      </c>
      <c r="B16" s="123"/>
    </row>
    <row r="17" spans="1:2" ht="68.5" customHeight="1" x14ac:dyDescent="0.3">
      <c r="A17" s="127" t="s">
        <v>137</v>
      </c>
      <c r="B17" s="127"/>
    </row>
    <row r="18" spans="1:2" x14ac:dyDescent="0.3">
      <c r="A18" s="101" t="s">
        <v>13</v>
      </c>
      <c r="B18" s="103" t="s">
        <v>110</v>
      </c>
    </row>
    <row r="19" spans="1:2" ht="28.5" customHeight="1" x14ac:dyDescent="0.3">
      <c r="A19" s="101" t="s">
        <v>130</v>
      </c>
      <c r="B19" s="103" t="s">
        <v>134</v>
      </c>
    </row>
    <row r="20" spans="1:2" ht="44.5" customHeight="1" x14ac:dyDescent="0.3">
      <c r="A20" s="101" t="s">
        <v>131</v>
      </c>
      <c r="B20" s="103" t="s">
        <v>111</v>
      </c>
    </row>
    <row r="21" spans="1:2" ht="26" x14ac:dyDescent="0.3">
      <c r="A21" s="101" t="s">
        <v>133</v>
      </c>
      <c r="B21" s="103" t="s">
        <v>112</v>
      </c>
    </row>
    <row r="22" spans="1:2" ht="26" x14ac:dyDescent="0.3">
      <c r="A22" s="101" t="s">
        <v>132</v>
      </c>
      <c r="B22" s="103" t="s">
        <v>111</v>
      </c>
    </row>
    <row r="23" spans="1:2" x14ac:dyDescent="0.3">
      <c r="A23" s="129" t="s">
        <v>37</v>
      </c>
      <c r="B23" s="123"/>
    </row>
    <row r="24" spans="1:2" ht="39.65" customHeight="1" x14ac:dyDescent="0.3">
      <c r="A24" s="127" t="s">
        <v>113</v>
      </c>
      <c r="B24" s="127"/>
    </row>
    <row r="25" spans="1:2" x14ac:dyDescent="0.3">
      <c r="A25" s="129" t="s">
        <v>139</v>
      </c>
      <c r="B25" s="123"/>
    </row>
    <row r="26" spans="1:2" ht="29.15" customHeight="1" x14ac:dyDescent="0.3">
      <c r="A26" s="126" t="s">
        <v>140</v>
      </c>
      <c r="B26" s="126"/>
    </row>
    <row r="27" spans="1:2" x14ac:dyDescent="0.3">
      <c r="A27" s="104" t="s">
        <v>105</v>
      </c>
      <c r="B27" s="105"/>
    </row>
    <row r="28" spans="1:2" ht="32.5" customHeight="1" x14ac:dyDescent="0.3">
      <c r="A28" s="106" t="s">
        <v>106</v>
      </c>
      <c r="B28" s="130" t="s">
        <v>142</v>
      </c>
    </row>
    <row r="29" spans="1:2" ht="36.65" customHeight="1" x14ac:dyDescent="0.3">
      <c r="A29" s="106" t="s">
        <v>114</v>
      </c>
      <c r="B29" s="130"/>
    </row>
    <row r="30" spans="1:2" ht="40" customHeight="1" x14ac:dyDescent="0.3">
      <c r="A30" s="126" t="s">
        <v>115</v>
      </c>
      <c r="B30" s="126"/>
    </row>
    <row r="31" spans="1:2" ht="30" customHeight="1" x14ac:dyDescent="0.3">
      <c r="A31" s="131" t="s">
        <v>154</v>
      </c>
      <c r="B31" s="131"/>
    </row>
    <row r="32" spans="1:2" ht="43" customHeight="1" x14ac:dyDescent="0.3">
      <c r="A32" s="131" t="s">
        <v>141</v>
      </c>
      <c r="B32" s="131"/>
    </row>
    <row r="33" spans="1:2" ht="9.65" customHeight="1" x14ac:dyDescent="0.3">
      <c r="A33" s="109"/>
      <c r="B33" s="110"/>
    </row>
    <row r="34" spans="1:2" ht="15.5" x14ac:dyDescent="0.3">
      <c r="A34" s="125" t="s">
        <v>118</v>
      </c>
      <c r="B34" s="125"/>
    </row>
    <row r="35" spans="1:2" ht="91.5" customHeight="1" x14ac:dyDescent="0.3">
      <c r="A35" s="126" t="s">
        <v>143</v>
      </c>
      <c r="B35" s="126"/>
    </row>
    <row r="36" spans="1:2" ht="29.5" customHeight="1" x14ac:dyDescent="0.3">
      <c r="A36" s="126" t="s">
        <v>144</v>
      </c>
      <c r="B36" s="126"/>
    </row>
    <row r="37" spans="1:2" ht="40.5" customHeight="1" x14ac:dyDescent="0.3">
      <c r="A37" s="126" t="s">
        <v>147</v>
      </c>
      <c r="B37" s="126"/>
    </row>
  </sheetData>
  <sheetProtection algorithmName="SHA-512" hashValue="qkE4lumqIbrZRoTR/kCFX6qFYE/M4m/4cskCkoPygNV4YWIxQETqIdx+EF7QELQeo7inBkqgzZC68I0Osjw6Jg==" saltValue="Nw+4ySrgK22PZ+l7x8iEug==" spinCount="100000" sheet="1" formatColumns="0" formatRows="0" selectLockedCells="1"/>
  <mergeCells count="22">
    <mergeCell ref="A37:B37"/>
    <mergeCell ref="B28:B29"/>
    <mergeCell ref="A31:B31"/>
    <mergeCell ref="A32:B32"/>
    <mergeCell ref="A35:B35"/>
    <mergeCell ref="A16:B16"/>
    <mergeCell ref="A17:B17"/>
    <mergeCell ref="B9:B12"/>
    <mergeCell ref="A34:B34"/>
    <mergeCell ref="A36:B36"/>
    <mergeCell ref="A23:B23"/>
    <mergeCell ref="A24:B24"/>
    <mergeCell ref="A25:B25"/>
    <mergeCell ref="A26:B26"/>
    <mergeCell ref="A30:B30"/>
    <mergeCell ref="A1:B1"/>
    <mergeCell ref="A2:B2"/>
    <mergeCell ref="A4:B4"/>
    <mergeCell ref="A5:B5"/>
    <mergeCell ref="A8:B8"/>
    <mergeCell ref="A6:B6"/>
    <mergeCell ref="A7:B7"/>
  </mergeCells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&amp;LMFB Zrt.&amp;CKEHOP PLUSZ-4.1.7-24 OTTHONFELÚJÍTÁSI HITELPROGRAM - &amp;A&amp;R&amp;P. oldal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Munka3">
    <tabColor theme="5" tint="0.59999389629810485"/>
  </sheetPr>
  <dimension ref="A1:L82"/>
  <sheetViews>
    <sheetView showGridLines="0" zoomScaleNormal="100" zoomScaleSheetLayoutView="100" workbookViewId="0">
      <selection activeCell="F6" sqref="F6:H6"/>
    </sheetView>
  </sheetViews>
  <sheetFormatPr defaultColWidth="0" defaultRowHeight="14.5" zeroHeight="1" x14ac:dyDescent="0.35"/>
  <cols>
    <col min="1" max="1" width="1.7265625" style="21" customWidth="1"/>
    <col min="2" max="2" width="15.81640625" style="21" customWidth="1"/>
    <col min="3" max="6" width="14.7265625" style="21" customWidth="1"/>
    <col min="7" max="7" width="15.54296875" style="21" customWidth="1"/>
    <col min="8" max="8" width="14.81640625" style="21" customWidth="1"/>
    <col min="9" max="9" width="13.453125" style="21" customWidth="1"/>
    <col min="10" max="10" width="2.1796875" style="21" customWidth="1"/>
    <col min="11" max="11" width="50" style="21" hidden="1" customWidth="1"/>
    <col min="12" max="12" width="0" style="21" hidden="1" customWidth="1"/>
    <col min="13" max="16384" width="8.7265625" style="21" hidden="1"/>
  </cols>
  <sheetData>
    <row r="1" spans="1:10" ht="80.150000000000006" customHeight="1" x14ac:dyDescent="0.45">
      <c r="B1" s="162" t="s">
        <v>158</v>
      </c>
      <c r="C1" s="162"/>
      <c r="D1" s="162"/>
      <c r="E1" s="162"/>
      <c r="F1" s="162"/>
      <c r="G1" s="162"/>
      <c r="H1" s="162"/>
      <c r="I1" s="5"/>
    </row>
    <row r="2" spans="1:10" ht="19" customHeight="1" x14ac:dyDescent="0.35">
      <c r="B2" s="163" t="s">
        <v>35</v>
      </c>
      <c r="C2" s="163"/>
      <c r="D2" s="163"/>
      <c r="E2" s="163"/>
      <c r="F2" s="163"/>
      <c r="G2" s="163"/>
      <c r="H2" s="163"/>
      <c r="I2" s="5"/>
    </row>
    <row r="3" spans="1:10" s="8" customFormat="1" ht="15" customHeight="1" x14ac:dyDescent="0.45">
      <c r="B3" s="15"/>
      <c r="C3" s="15"/>
      <c r="D3" s="15"/>
      <c r="E3" s="15"/>
      <c r="G3" s="47" t="s">
        <v>29</v>
      </c>
      <c r="H3" s="48" t="str">
        <f>+'Kitöltési útmutató'!B3</f>
        <v>2025. 10.15-től</v>
      </c>
      <c r="J3" s="11"/>
    </row>
    <row r="4" spans="1:10" s="4" customFormat="1" ht="4.5" customHeight="1" x14ac:dyDescent="0.35">
      <c r="A4" s="2"/>
      <c r="B4" s="2"/>
      <c r="C4" s="1"/>
      <c r="D4" s="12"/>
      <c r="E4" s="12"/>
      <c r="F4" s="12"/>
      <c r="G4" s="12"/>
      <c r="H4" s="29"/>
      <c r="I4" s="29"/>
      <c r="J4" s="2"/>
    </row>
    <row r="5" spans="1:10" s="6" customFormat="1" ht="15.65" customHeight="1" x14ac:dyDescent="0.35">
      <c r="A5" s="5"/>
      <c r="B5" s="164" t="s">
        <v>7</v>
      </c>
      <c r="C5" s="164"/>
      <c r="D5" s="164"/>
      <c r="E5" s="164"/>
      <c r="F5" s="164"/>
      <c r="G5" s="164"/>
      <c r="H5" s="164"/>
      <c r="I5" s="5"/>
      <c r="J5" s="5"/>
    </row>
    <row r="6" spans="1:10" s="16" customFormat="1" ht="19.5" customHeight="1" x14ac:dyDescent="0.35">
      <c r="A6" s="20"/>
      <c r="B6" s="166" t="s">
        <v>123</v>
      </c>
      <c r="C6" s="166"/>
      <c r="D6" s="166" t="s">
        <v>122</v>
      </c>
      <c r="E6" s="166"/>
      <c r="F6" s="165"/>
      <c r="G6" s="165"/>
      <c r="H6" s="165"/>
      <c r="I6" s="20"/>
      <c r="J6" s="20"/>
    </row>
    <row r="7" spans="1:10" s="16" customFormat="1" ht="19.5" customHeight="1" x14ac:dyDescent="0.35">
      <c r="A7" s="20"/>
      <c r="B7" s="166"/>
      <c r="C7" s="166"/>
      <c r="D7" s="166" t="s">
        <v>124</v>
      </c>
      <c r="E7" s="166"/>
      <c r="F7" s="165"/>
      <c r="G7" s="165"/>
      <c r="H7" s="165"/>
      <c r="I7" s="20"/>
      <c r="J7" s="20"/>
    </row>
    <row r="8" spans="1:10" s="16" customFormat="1" ht="19.5" customHeight="1" x14ac:dyDescent="0.35">
      <c r="A8" s="20"/>
      <c r="B8" s="166" t="s">
        <v>108</v>
      </c>
      <c r="C8" s="166"/>
      <c r="D8" s="166"/>
      <c r="E8" s="166"/>
      <c r="F8" s="165"/>
      <c r="G8" s="165"/>
      <c r="H8" s="165"/>
      <c r="I8" s="20"/>
      <c r="J8" s="20"/>
    </row>
    <row r="9" spans="1:10" s="16" customFormat="1" ht="19.5" customHeight="1" x14ac:dyDescent="0.35">
      <c r="A9" s="20"/>
      <c r="B9" s="138" t="s">
        <v>121</v>
      </c>
      <c r="C9" s="138"/>
      <c r="D9" s="138"/>
      <c r="E9" s="138"/>
      <c r="F9" s="165"/>
      <c r="G9" s="165"/>
      <c r="H9" s="165"/>
      <c r="I9" s="20"/>
      <c r="J9" s="20"/>
    </row>
    <row r="10" spans="1:10" s="16" customFormat="1" ht="19.5" customHeight="1" x14ac:dyDescent="0.35">
      <c r="A10" s="20"/>
      <c r="B10" s="138" t="s">
        <v>128</v>
      </c>
      <c r="C10" s="138"/>
      <c r="D10" s="138"/>
      <c r="E10" s="138"/>
      <c r="F10" s="165"/>
      <c r="G10" s="165"/>
      <c r="H10" s="165"/>
      <c r="I10" s="132" t="str">
        <f>IF(F11&gt;2007,"Az építés éve nem lehet 2007 utáni!","")</f>
        <v/>
      </c>
      <c r="J10" s="20"/>
    </row>
    <row r="11" spans="1:10" s="16" customFormat="1" ht="19.5" customHeight="1" x14ac:dyDescent="0.35">
      <c r="A11" s="20"/>
      <c r="B11" s="138" t="s">
        <v>135</v>
      </c>
      <c r="C11" s="138"/>
      <c r="D11" s="138"/>
      <c r="E11" s="138"/>
      <c r="F11" s="139"/>
      <c r="G11" s="139"/>
      <c r="H11" s="139"/>
      <c r="I11" s="132"/>
      <c r="J11" s="20"/>
    </row>
    <row r="12" spans="1:10" s="6" customFormat="1" ht="7.5" customHeight="1" x14ac:dyDescent="0.35">
      <c r="A12" s="5"/>
      <c r="B12" s="135"/>
      <c r="C12" s="136"/>
      <c r="D12" s="136"/>
      <c r="E12" s="136"/>
      <c r="F12" s="136"/>
      <c r="G12" s="136"/>
      <c r="H12" s="137"/>
      <c r="I12" s="5"/>
      <c r="J12" s="5"/>
    </row>
    <row r="13" spans="1:10" s="16" customFormat="1" ht="67" customHeight="1" x14ac:dyDescent="0.35">
      <c r="A13" s="20"/>
      <c r="B13" s="141" t="s">
        <v>125</v>
      </c>
      <c r="C13" s="141"/>
      <c r="D13" s="141"/>
      <c r="E13" s="89" t="s">
        <v>71</v>
      </c>
      <c r="F13" s="89" t="s">
        <v>75</v>
      </c>
      <c r="G13" s="89" t="s">
        <v>70</v>
      </c>
      <c r="H13" s="89" t="s">
        <v>159</v>
      </c>
      <c r="I13" s="148"/>
      <c r="J13" s="20"/>
    </row>
    <row r="14" spans="1:10" s="16" customFormat="1" ht="19.5" customHeight="1" x14ac:dyDescent="0.35">
      <c r="A14" s="20"/>
      <c r="B14" s="141"/>
      <c r="C14" s="141"/>
      <c r="D14" s="141"/>
      <c r="E14" s="90"/>
      <c r="F14" s="90"/>
      <c r="G14" s="90"/>
      <c r="H14" s="90"/>
      <c r="I14" s="148"/>
      <c r="J14" s="20"/>
    </row>
    <row r="15" spans="1:10" s="6" customFormat="1" ht="4.5" customHeight="1" x14ac:dyDescent="0.35">
      <c r="A15" s="5"/>
      <c r="B15" s="5"/>
      <c r="C15" s="30"/>
      <c r="D15" s="30"/>
      <c r="E15" s="30"/>
      <c r="F15" s="30"/>
      <c r="G15" s="30"/>
      <c r="H15" s="30"/>
      <c r="I15" s="5"/>
      <c r="J15" s="5"/>
    </row>
    <row r="16" spans="1:10" s="25" customFormat="1" ht="18.75" customHeight="1" x14ac:dyDescent="0.35">
      <c r="A16" s="2"/>
      <c r="B16" s="140" t="s">
        <v>8</v>
      </c>
      <c r="C16" s="140"/>
      <c r="D16" s="140"/>
      <c r="E16" s="140"/>
      <c r="F16" s="140"/>
      <c r="G16" s="140"/>
      <c r="H16" s="140"/>
      <c r="I16" s="20"/>
      <c r="J16" s="1"/>
    </row>
    <row r="17" spans="1:11" s="26" customFormat="1" ht="64.5" customHeight="1" x14ac:dyDescent="0.35">
      <c r="A17" s="17"/>
      <c r="B17" s="149"/>
      <c r="C17" s="150"/>
      <c r="D17" s="39" t="s">
        <v>13</v>
      </c>
      <c r="E17" s="39" t="s">
        <v>19</v>
      </c>
      <c r="F17" s="40" t="s">
        <v>58</v>
      </c>
      <c r="G17" s="71" t="s">
        <v>10</v>
      </c>
      <c r="H17" s="71" t="s">
        <v>59</v>
      </c>
      <c r="I17" s="20"/>
      <c r="J17" s="18"/>
    </row>
    <row r="18" spans="1:11" s="26" customFormat="1" ht="19.5" customHeight="1" x14ac:dyDescent="0.35">
      <c r="A18" s="17"/>
      <c r="B18" s="147" t="s">
        <v>9</v>
      </c>
      <c r="C18" s="147"/>
      <c r="D18" s="91"/>
      <c r="E18" s="92"/>
      <c r="F18" s="92"/>
      <c r="G18" s="41">
        <f>F18*E18</f>
        <v>0</v>
      </c>
      <c r="H18" s="92"/>
      <c r="I18" s="20"/>
      <c r="J18" s="18"/>
    </row>
    <row r="19" spans="1:11" s="26" customFormat="1" ht="19.5" customHeight="1" x14ac:dyDescent="0.35">
      <c r="A19" s="17"/>
      <c r="B19" s="147" t="s">
        <v>11</v>
      </c>
      <c r="C19" s="147"/>
      <c r="D19" s="91"/>
      <c r="E19" s="92"/>
      <c r="F19" s="92"/>
      <c r="G19" s="72">
        <f>F19*E19</f>
        <v>0</v>
      </c>
      <c r="H19" s="92"/>
      <c r="I19" s="20"/>
      <c r="J19" s="18"/>
    </row>
    <row r="20" spans="1:11" s="6" customFormat="1" ht="4.5" customHeight="1" x14ac:dyDescent="0.35">
      <c r="A20" s="5"/>
      <c r="B20" s="5"/>
      <c r="C20" s="30"/>
      <c r="D20" s="30"/>
      <c r="E20" s="30"/>
      <c r="F20" s="30"/>
      <c r="G20" s="30"/>
      <c r="H20" s="30"/>
      <c r="I20" s="5"/>
      <c r="J20" s="5"/>
    </row>
    <row r="21" spans="1:11" s="6" customFormat="1" ht="19.5" customHeight="1" x14ac:dyDescent="0.35">
      <c r="A21" s="5"/>
      <c r="B21" s="133" t="s">
        <v>37</v>
      </c>
      <c r="C21" s="133"/>
      <c r="D21" s="133"/>
      <c r="E21" s="133"/>
      <c r="F21" s="133"/>
      <c r="G21" s="133"/>
      <c r="H21" s="133"/>
      <c r="I21" s="5"/>
      <c r="J21" s="5"/>
      <c r="K21" s="14"/>
    </row>
    <row r="22" spans="1:11" s="16" customFormat="1" ht="15.75" customHeight="1" x14ac:dyDescent="0.35">
      <c r="A22" s="20"/>
      <c r="B22" s="134" t="s">
        <v>38</v>
      </c>
      <c r="C22" s="134"/>
      <c r="D22" s="146" t="s">
        <v>39</v>
      </c>
      <c r="E22" s="146"/>
      <c r="F22" s="146"/>
      <c r="G22" s="146"/>
      <c r="H22" s="134" t="s">
        <v>40</v>
      </c>
      <c r="I22" s="20"/>
      <c r="J22" s="20"/>
      <c r="K22" s="50"/>
    </row>
    <row r="23" spans="1:11" s="16" customFormat="1" ht="29.5" customHeight="1" x14ac:dyDescent="0.35">
      <c r="A23" s="20"/>
      <c r="B23" s="134"/>
      <c r="C23" s="134"/>
      <c r="D23" s="146" t="s">
        <v>95</v>
      </c>
      <c r="E23" s="146"/>
      <c r="F23" s="167" t="s">
        <v>96</v>
      </c>
      <c r="G23" s="167"/>
      <c r="H23" s="134"/>
      <c r="I23" s="20"/>
      <c r="J23" s="20"/>
      <c r="K23" s="50"/>
    </row>
    <row r="24" spans="1:11" s="16" customFormat="1" ht="19.5" customHeight="1" x14ac:dyDescent="0.35">
      <c r="A24" s="20"/>
      <c r="B24" s="142" t="s">
        <v>41</v>
      </c>
      <c r="C24" s="41" t="s">
        <v>42</v>
      </c>
      <c r="D24" s="143"/>
      <c r="E24" s="143"/>
      <c r="F24" s="143"/>
      <c r="G24" s="143"/>
      <c r="H24" s="41">
        <f>D24-F24</f>
        <v>0</v>
      </c>
      <c r="I24" s="20"/>
      <c r="J24" s="20"/>
      <c r="K24" s="50"/>
    </row>
    <row r="25" spans="1:11" s="16" customFormat="1" ht="19.5" customHeight="1" x14ac:dyDescent="0.35">
      <c r="A25" s="20"/>
      <c r="B25" s="142"/>
      <c r="C25" s="41" t="s">
        <v>43</v>
      </c>
      <c r="D25" s="143"/>
      <c r="E25" s="143"/>
      <c r="F25" s="143"/>
      <c r="G25" s="143"/>
      <c r="H25" s="41">
        <f t="shared" ref="H25:H37" si="0">D25-F25</f>
        <v>0</v>
      </c>
      <c r="I25" s="20"/>
      <c r="J25" s="20"/>
      <c r="K25" s="50"/>
    </row>
    <row r="26" spans="1:11" s="16" customFormat="1" ht="19.5" customHeight="1" x14ac:dyDescent="0.35">
      <c r="A26" s="20"/>
      <c r="B26" s="142"/>
      <c r="C26" s="41" t="s">
        <v>44</v>
      </c>
      <c r="D26" s="143"/>
      <c r="E26" s="143"/>
      <c r="F26" s="143"/>
      <c r="G26" s="143"/>
      <c r="H26" s="41">
        <f t="shared" si="0"/>
        <v>0</v>
      </c>
      <c r="I26" s="20"/>
      <c r="J26" s="20"/>
      <c r="K26" s="50"/>
    </row>
    <row r="27" spans="1:11" s="16" customFormat="1" ht="19.5" customHeight="1" x14ac:dyDescent="0.35">
      <c r="A27" s="20"/>
      <c r="B27" s="142" t="s">
        <v>45</v>
      </c>
      <c r="C27" s="41" t="s">
        <v>42</v>
      </c>
      <c r="D27" s="143"/>
      <c r="E27" s="143"/>
      <c r="F27" s="143"/>
      <c r="G27" s="143"/>
      <c r="H27" s="41">
        <f t="shared" si="0"/>
        <v>0</v>
      </c>
      <c r="I27" s="20"/>
      <c r="J27" s="20"/>
      <c r="K27" s="50"/>
    </row>
    <row r="28" spans="1:11" s="16" customFormat="1" ht="19.5" customHeight="1" x14ac:dyDescent="0.35">
      <c r="A28" s="20"/>
      <c r="B28" s="142"/>
      <c r="C28" s="41" t="s">
        <v>43</v>
      </c>
      <c r="D28" s="143"/>
      <c r="E28" s="143"/>
      <c r="F28" s="143"/>
      <c r="G28" s="143"/>
      <c r="H28" s="41">
        <f t="shared" si="0"/>
        <v>0</v>
      </c>
      <c r="I28" s="20"/>
      <c r="J28" s="20"/>
      <c r="K28" s="50"/>
    </row>
    <row r="29" spans="1:11" s="16" customFormat="1" ht="19.5" customHeight="1" x14ac:dyDescent="0.35">
      <c r="A29" s="20"/>
      <c r="B29" s="142"/>
      <c r="C29" s="41" t="s">
        <v>44</v>
      </c>
      <c r="D29" s="143"/>
      <c r="E29" s="143"/>
      <c r="F29" s="143"/>
      <c r="G29" s="143"/>
      <c r="H29" s="41">
        <f t="shared" si="0"/>
        <v>0</v>
      </c>
      <c r="I29" s="20"/>
      <c r="J29" s="20"/>
      <c r="K29" s="50"/>
    </row>
    <row r="30" spans="1:11" s="16" customFormat="1" ht="19.5" customHeight="1" x14ac:dyDescent="0.35">
      <c r="A30" s="20"/>
      <c r="B30" s="142" t="s">
        <v>46</v>
      </c>
      <c r="C30" s="142"/>
      <c r="D30" s="143"/>
      <c r="E30" s="143"/>
      <c r="F30" s="143"/>
      <c r="G30" s="143"/>
      <c r="H30" s="41">
        <f t="shared" si="0"/>
        <v>0</v>
      </c>
      <c r="I30" s="20"/>
      <c r="J30" s="20"/>
      <c r="K30" s="50"/>
    </row>
    <row r="31" spans="1:11" s="16" customFormat="1" ht="19.5" customHeight="1" x14ac:dyDescent="0.35">
      <c r="A31" s="20"/>
      <c r="B31" s="142" t="s">
        <v>47</v>
      </c>
      <c r="C31" s="142"/>
      <c r="D31" s="143"/>
      <c r="E31" s="143"/>
      <c r="F31" s="143"/>
      <c r="G31" s="143"/>
      <c r="H31" s="41">
        <f t="shared" si="0"/>
        <v>0</v>
      </c>
      <c r="I31" s="20"/>
      <c r="J31" s="20"/>
      <c r="K31" s="50"/>
    </row>
    <row r="32" spans="1:11" s="16" customFormat="1" ht="24.65" customHeight="1" x14ac:dyDescent="0.35">
      <c r="A32" s="20"/>
      <c r="B32" s="144" t="s">
        <v>156</v>
      </c>
      <c r="C32" s="144"/>
      <c r="D32" s="145">
        <f>SUM(D24:E31)</f>
        <v>0</v>
      </c>
      <c r="E32" s="145"/>
      <c r="F32" s="145">
        <f>SUM(F24:G31)</f>
        <v>0</v>
      </c>
      <c r="G32" s="145"/>
      <c r="H32" s="42">
        <f>D32-F32</f>
        <v>0</v>
      </c>
      <c r="I32" s="20"/>
      <c r="J32" s="20"/>
      <c r="K32" s="50"/>
    </row>
    <row r="33" spans="1:11" s="16" customFormat="1" ht="19.5" customHeight="1" x14ac:dyDescent="0.35">
      <c r="A33" s="20"/>
      <c r="B33" s="142" t="s">
        <v>48</v>
      </c>
      <c r="C33" s="142"/>
      <c r="D33" s="143"/>
      <c r="E33" s="143"/>
      <c r="F33" s="143"/>
      <c r="G33" s="143"/>
      <c r="H33" s="41">
        <f t="shared" si="0"/>
        <v>0</v>
      </c>
      <c r="I33" s="20"/>
      <c r="J33" s="20"/>
      <c r="K33" s="50"/>
    </row>
    <row r="34" spans="1:11" s="16" customFormat="1" ht="19.5" customHeight="1" x14ac:dyDescent="0.35">
      <c r="A34" s="20"/>
      <c r="B34" s="142" t="s">
        <v>49</v>
      </c>
      <c r="C34" s="41" t="s">
        <v>50</v>
      </c>
      <c r="D34" s="143"/>
      <c r="E34" s="143"/>
      <c r="F34" s="143"/>
      <c r="G34" s="143"/>
      <c r="H34" s="41">
        <f t="shared" si="0"/>
        <v>0</v>
      </c>
      <c r="I34" s="20"/>
      <c r="J34" s="20"/>
      <c r="K34" s="50"/>
    </row>
    <row r="35" spans="1:11" s="16" customFormat="1" ht="19.5" customHeight="1" x14ac:dyDescent="0.35">
      <c r="A35" s="20"/>
      <c r="B35" s="142"/>
      <c r="C35" s="41" t="s">
        <v>51</v>
      </c>
      <c r="D35" s="143"/>
      <c r="E35" s="143"/>
      <c r="F35" s="143"/>
      <c r="G35" s="143"/>
      <c r="H35" s="41">
        <f t="shared" si="0"/>
        <v>0</v>
      </c>
      <c r="I35" s="20"/>
      <c r="J35" s="20"/>
      <c r="K35" s="50"/>
    </row>
    <row r="36" spans="1:11" s="16" customFormat="1" ht="19.5" customHeight="1" x14ac:dyDescent="0.35">
      <c r="A36" s="20"/>
      <c r="B36" s="142" t="s">
        <v>52</v>
      </c>
      <c r="C36" s="142"/>
      <c r="D36" s="143"/>
      <c r="E36" s="143"/>
      <c r="F36" s="143"/>
      <c r="G36" s="143"/>
      <c r="H36" s="41">
        <f t="shared" si="0"/>
        <v>0</v>
      </c>
      <c r="I36" s="20"/>
      <c r="J36" s="20"/>
      <c r="K36" s="50"/>
    </row>
    <row r="37" spans="1:11" s="16" customFormat="1" ht="19.5" customHeight="1" x14ac:dyDescent="0.35">
      <c r="A37" s="20"/>
      <c r="B37" s="142" t="s">
        <v>53</v>
      </c>
      <c r="C37" s="142"/>
      <c r="D37" s="143"/>
      <c r="E37" s="143"/>
      <c r="F37" s="143"/>
      <c r="G37" s="143"/>
      <c r="H37" s="41">
        <f t="shared" si="0"/>
        <v>0</v>
      </c>
      <c r="I37" s="20"/>
      <c r="J37" s="20"/>
      <c r="K37" s="50"/>
    </row>
    <row r="38" spans="1:11" s="52" customFormat="1" ht="19.5" customHeight="1" x14ac:dyDescent="0.35">
      <c r="A38" s="20"/>
      <c r="B38" s="144" t="s">
        <v>157</v>
      </c>
      <c r="C38" s="144"/>
      <c r="D38" s="145">
        <f>SUM(D33:E37)</f>
        <v>0</v>
      </c>
      <c r="E38" s="145"/>
      <c r="F38" s="145">
        <f>SUM(F33:G37)</f>
        <v>0</v>
      </c>
      <c r="G38" s="145"/>
      <c r="H38" s="42">
        <f>D38-F38</f>
        <v>0</v>
      </c>
      <c r="I38" s="20"/>
      <c r="J38" s="20"/>
      <c r="K38" s="51"/>
    </row>
    <row r="39" spans="1:11" ht="13.5" customHeight="1" x14ac:dyDescent="0.35"/>
    <row r="40" spans="1:11" s="4" customFormat="1" ht="20.149999999999999" customHeight="1" x14ac:dyDescent="0.35">
      <c r="A40" s="5"/>
      <c r="B40" s="133" t="s">
        <v>139</v>
      </c>
      <c r="C40" s="133"/>
      <c r="D40" s="133"/>
      <c r="E40" s="133"/>
      <c r="F40" s="133"/>
      <c r="G40" s="133"/>
      <c r="H40" s="133"/>
      <c r="I40" s="133"/>
      <c r="J40" s="27"/>
    </row>
    <row r="41" spans="1:11" s="54" customFormat="1" ht="20.25" customHeight="1" x14ac:dyDescent="0.35">
      <c r="A41" s="20"/>
      <c r="B41" s="68" t="s">
        <v>0</v>
      </c>
      <c r="C41" s="180" t="str">
        <f>IF(ISBLANK(F6),"",F6)</f>
        <v/>
      </c>
      <c r="D41" s="180"/>
      <c r="E41" s="180"/>
      <c r="F41" s="69" t="s">
        <v>1</v>
      </c>
      <c r="G41" s="181" t="str">
        <f>IF(ISBLANK(F7),"",F7)</f>
        <v/>
      </c>
      <c r="H41" s="181"/>
      <c r="I41" s="70" t="s">
        <v>21</v>
      </c>
      <c r="J41" s="53"/>
    </row>
    <row r="42" spans="1:11" s="54" customFormat="1" ht="15" customHeight="1" x14ac:dyDescent="0.35">
      <c r="A42" s="20"/>
      <c r="B42" s="168" t="s">
        <v>14</v>
      </c>
      <c r="C42" s="168"/>
      <c r="D42" s="168"/>
      <c r="E42" s="168"/>
      <c r="F42" s="168"/>
      <c r="G42" s="168"/>
      <c r="H42" s="168"/>
      <c r="I42" s="168"/>
      <c r="J42" s="18"/>
    </row>
    <row r="43" spans="1:11" s="54" customFormat="1" ht="24" customHeight="1" x14ac:dyDescent="0.35">
      <c r="A43" s="17"/>
      <c r="B43" s="39" t="s">
        <v>2</v>
      </c>
      <c r="C43" s="182" t="s">
        <v>152</v>
      </c>
      <c r="D43" s="182"/>
      <c r="E43" s="182"/>
      <c r="F43" s="182"/>
      <c r="G43" s="182"/>
      <c r="H43" s="182"/>
      <c r="I43" s="93"/>
      <c r="J43" s="28"/>
    </row>
    <row r="44" spans="1:11" s="54" customFormat="1" ht="24" customHeight="1" x14ac:dyDescent="0.35">
      <c r="A44" s="17"/>
      <c r="B44" s="39" t="s">
        <v>3</v>
      </c>
      <c r="C44" s="182" t="s">
        <v>36</v>
      </c>
      <c r="D44" s="182"/>
      <c r="E44" s="182"/>
      <c r="F44" s="182"/>
      <c r="G44" s="182"/>
      <c r="H44" s="182"/>
      <c r="I44" s="93"/>
      <c r="J44" s="28"/>
    </row>
    <row r="45" spans="1:11" s="54" customFormat="1" ht="106.5" customHeight="1" thickBot="1" x14ac:dyDescent="0.4">
      <c r="A45" s="17"/>
      <c r="B45" s="118" t="s">
        <v>4</v>
      </c>
      <c r="C45" s="183" t="s">
        <v>163</v>
      </c>
      <c r="D45" s="183"/>
      <c r="E45" s="183"/>
      <c r="F45" s="183"/>
      <c r="G45" s="183"/>
      <c r="H45" s="183"/>
      <c r="I45" s="43"/>
      <c r="J45" s="28"/>
    </row>
    <row r="46" spans="1:11" s="54" customFormat="1" ht="8.15" customHeight="1" x14ac:dyDescent="0.35">
      <c r="A46" s="17"/>
      <c r="B46" s="17"/>
      <c r="C46" s="18"/>
      <c r="D46" s="18"/>
      <c r="E46" s="18"/>
      <c r="F46" s="18"/>
      <c r="G46" s="18"/>
      <c r="H46" s="18"/>
      <c r="I46" s="18"/>
      <c r="J46" s="18"/>
      <c r="K46" s="18"/>
    </row>
    <row r="47" spans="1:11" s="54" customFormat="1" ht="16.5" customHeight="1" x14ac:dyDescent="0.35">
      <c r="B47" s="55" t="s">
        <v>6</v>
      </c>
      <c r="C47" s="185"/>
      <c r="D47" s="185"/>
      <c r="E47" s="185"/>
      <c r="G47" s="18"/>
      <c r="H47" s="18"/>
      <c r="I47" s="18"/>
      <c r="J47" s="18"/>
      <c r="K47" s="18"/>
    </row>
    <row r="48" spans="1:11" s="54" customFormat="1" ht="12.65" customHeight="1" x14ac:dyDescent="0.35">
      <c r="A48" s="17"/>
      <c r="B48" s="17"/>
      <c r="C48" s="18"/>
      <c r="D48" s="18"/>
      <c r="E48" s="18"/>
      <c r="F48" s="18"/>
      <c r="G48" s="56"/>
      <c r="H48" s="56"/>
      <c r="I48" s="56"/>
      <c r="J48" s="18"/>
      <c r="K48" s="18"/>
    </row>
    <row r="49" spans="1:12" s="54" customFormat="1" ht="13.5" customHeight="1" x14ac:dyDescent="0.3">
      <c r="A49" s="17"/>
      <c r="B49" s="17"/>
      <c r="C49" s="18"/>
      <c r="D49" s="18"/>
      <c r="E49" s="18"/>
      <c r="F49" s="18"/>
      <c r="G49" s="184" t="str">
        <f>IF(F6&lt;&gt;"",F6,"")</f>
        <v/>
      </c>
      <c r="H49" s="184"/>
      <c r="I49" s="184"/>
      <c r="J49" s="57"/>
      <c r="K49" s="57"/>
    </row>
    <row r="50" spans="1:12" s="54" customFormat="1" ht="13" x14ac:dyDescent="0.3">
      <c r="A50" s="17"/>
      <c r="B50" s="17"/>
      <c r="C50" s="18"/>
      <c r="D50" s="18"/>
      <c r="E50" s="18"/>
      <c r="F50" s="18"/>
      <c r="G50" s="190" t="s">
        <v>54</v>
      </c>
      <c r="H50" s="190"/>
      <c r="I50" s="190"/>
      <c r="J50" s="58"/>
      <c r="K50" s="58"/>
    </row>
    <row r="51" spans="1:12" s="54" customFormat="1" ht="13" x14ac:dyDescent="0.3">
      <c r="A51" s="17"/>
      <c r="B51" s="17"/>
      <c r="C51" s="18"/>
      <c r="D51" s="18"/>
      <c r="E51" s="18"/>
      <c r="F51" s="18"/>
      <c r="G51" s="53"/>
      <c r="H51" s="53"/>
      <c r="I51" s="53"/>
      <c r="J51" s="58"/>
      <c r="K51" s="58"/>
    </row>
    <row r="52" spans="1:12" s="54" customFormat="1" ht="20.25" customHeight="1" x14ac:dyDescent="0.35">
      <c r="A52" s="17"/>
      <c r="B52" s="188" t="s">
        <v>0</v>
      </c>
      <c r="C52" s="189"/>
      <c r="D52" s="59"/>
      <c r="E52" s="60"/>
      <c r="F52" s="60"/>
      <c r="G52" s="59"/>
      <c r="H52" s="59"/>
      <c r="I52" s="61"/>
      <c r="J52" s="18"/>
      <c r="K52" s="62"/>
    </row>
    <row r="53" spans="1:12" s="54" customFormat="1" ht="21" customHeight="1" x14ac:dyDescent="0.35">
      <c r="A53" s="17"/>
      <c r="B53" s="178" t="str">
        <f>+IF(ISBLANK(F9),"",F9)</f>
        <v/>
      </c>
      <c r="C53" s="179"/>
      <c r="D53" s="179"/>
      <c r="E53" s="179"/>
      <c r="F53" s="186" t="s">
        <v>22</v>
      </c>
      <c r="G53" s="186"/>
      <c r="H53" s="186"/>
      <c r="I53" s="187"/>
      <c r="J53" s="18"/>
      <c r="K53" s="18"/>
    </row>
    <row r="54" spans="1:12" s="54" customFormat="1" ht="30.75" customHeight="1" x14ac:dyDescent="0.35">
      <c r="A54" s="17"/>
      <c r="B54" s="172" t="s">
        <v>12</v>
      </c>
      <c r="C54" s="173"/>
      <c r="D54" s="173"/>
      <c r="E54" s="173"/>
      <c r="F54" s="173"/>
      <c r="G54" s="173"/>
      <c r="H54" s="173"/>
      <c r="I54" s="174"/>
      <c r="J54" s="18"/>
      <c r="K54" s="18"/>
    </row>
    <row r="55" spans="1:12" s="16" customFormat="1" ht="28" customHeight="1" x14ac:dyDescent="0.35">
      <c r="A55" s="20"/>
      <c r="B55" s="175" t="s">
        <v>76</v>
      </c>
      <c r="C55" s="176"/>
      <c r="D55" s="176"/>
      <c r="E55" s="176"/>
      <c r="F55" s="176"/>
      <c r="G55" s="176"/>
      <c r="H55" s="176"/>
      <c r="I55" s="177"/>
      <c r="J55" s="20"/>
      <c r="K55" s="54"/>
      <c r="L55" s="54"/>
    </row>
    <row r="56" spans="1:12" s="38" customFormat="1" x14ac:dyDescent="0.35">
      <c r="A56" s="5"/>
      <c r="B56" s="169"/>
      <c r="C56" s="170"/>
      <c r="D56" s="171"/>
      <c r="E56" s="46" t="s">
        <v>93</v>
      </c>
      <c r="F56" s="46" t="s">
        <v>80</v>
      </c>
      <c r="G56" s="46" t="s">
        <v>94</v>
      </c>
      <c r="H56" s="46" t="s">
        <v>81</v>
      </c>
      <c r="I56" s="46" t="s">
        <v>82</v>
      </c>
      <c r="J56" s="5"/>
      <c r="K56" s="45"/>
      <c r="L56" s="45"/>
    </row>
    <row r="57" spans="1:12" s="16" customFormat="1" ht="24" customHeight="1" x14ac:dyDescent="0.35">
      <c r="A57" s="20"/>
      <c r="B57" s="159" t="s">
        <v>83</v>
      </c>
      <c r="C57" s="159"/>
      <c r="D57" s="159"/>
      <c r="E57" s="94"/>
      <c r="F57" s="113">
        <v>0</v>
      </c>
      <c r="G57" s="94"/>
      <c r="H57" s="113">
        <v>1</v>
      </c>
      <c r="I57" s="63" t="s">
        <v>84</v>
      </c>
      <c r="J57" s="20"/>
      <c r="K57" s="54"/>
      <c r="L57" s="54"/>
    </row>
    <row r="58" spans="1:12" s="16" customFormat="1" ht="27" customHeight="1" x14ac:dyDescent="0.35">
      <c r="A58" s="20"/>
      <c r="B58" s="159" t="s">
        <v>85</v>
      </c>
      <c r="C58" s="159"/>
      <c r="D58" s="159"/>
      <c r="E58" s="95" t="str">
        <f t="shared" ref="E58:G65" si="1">IF(ISBLANK(E$57),"",E$57)</f>
        <v/>
      </c>
      <c r="F58" s="111">
        <f>D27*E18</f>
        <v>0</v>
      </c>
      <c r="G58" s="95" t="str">
        <f t="shared" si="1"/>
        <v/>
      </c>
      <c r="H58" s="111">
        <f>F27*E19</f>
        <v>0</v>
      </c>
      <c r="I58" s="63" t="s">
        <v>17</v>
      </c>
      <c r="J58" s="20"/>
      <c r="K58" s="54"/>
      <c r="L58" s="54"/>
    </row>
    <row r="59" spans="1:12" s="16" customFormat="1" ht="19.5" customHeight="1" x14ac:dyDescent="0.35">
      <c r="A59" s="20"/>
      <c r="B59" s="159" t="s">
        <v>86</v>
      </c>
      <c r="C59" s="159"/>
      <c r="D59" s="159"/>
      <c r="E59" s="95" t="str">
        <f t="shared" si="1"/>
        <v/>
      </c>
      <c r="F59" s="111">
        <f>D28*E18+D29*E18</f>
        <v>0</v>
      </c>
      <c r="G59" s="95" t="str">
        <f t="shared" si="1"/>
        <v/>
      </c>
      <c r="H59" s="111">
        <f>F28*E19+F29*E19</f>
        <v>0</v>
      </c>
      <c r="I59" s="63" t="s">
        <v>17</v>
      </c>
      <c r="J59" s="20"/>
    </row>
    <row r="60" spans="1:12" s="16" customFormat="1" ht="19.5" customHeight="1" x14ac:dyDescent="0.35">
      <c r="A60" s="20"/>
      <c r="B60" s="159" t="s">
        <v>87</v>
      </c>
      <c r="C60" s="159"/>
      <c r="D60" s="159"/>
      <c r="E60" s="95" t="str">
        <f t="shared" si="1"/>
        <v/>
      </c>
      <c r="F60" s="111">
        <f>(H18*E18)/1000</f>
        <v>0</v>
      </c>
      <c r="G60" s="95" t="str">
        <f t="shared" si="1"/>
        <v/>
      </c>
      <c r="H60" s="111">
        <f>(H19*E19)/1000</f>
        <v>0</v>
      </c>
      <c r="I60" s="63" t="s">
        <v>97</v>
      </c>
      <c r="J60" s="20"/>
    </row>
    <row r="61" spans="1:12" s="16" customFormat="1" ht="27" customHeight="1" x14ac:dyDescent="0.35">
      <c r="A61" s="20"/>
      <c r="B61" s="159" t="s">
        <v>88</v>
      </c>
      <c r="C61" s="159"/>
      <c r="D61" s="159"/>
      <c r="E61" s="95" t="str">
        <f t="shared" si="1"/>
        <v/>
      </c>
      <c r="F61" s="111">
        <f>F64*0.0036</f>
        <v>0</v>
      </c>
      <c r="G61" s="95" t="str">
        <f t="shared" si="1"/>
        <v/>
      </c>
      <c r="H61" s="111">
        <f>H64*0.0036</f>
        <v>0</v>
      </c>
      <c r="I61" s="63" t="s">
        <v>16</v>
      </c>
      <c r="J61" s="20"/>
    </row>
    <row r="62" spans="1:12" s="16" customFormat="1" ht="19.5" customHeight="1" x14ac:dyDescent="0.35">
      <c r="A62" s="20"/>
      <c r="B62" s="159" t="s">
        <v>89</v>
      </c>
      <c r="C62" s="159"/>
      <c r="D62" s="159"/>
      <c r="E62" s="95" t="str">
        <f t="shared" si="1"/>
        <v/>
      </c>
      <c r="F62" s="111">
        <f>D30*E18</f>
        <v>0</v>
      </c>
      <c r="G62" s="95" t="str">
        <f t="shared" si="1"/>
        <v/>
      </c>
      <c r="H62" s="111">
        <f>F30*E19</f>
        <v>0</v>
      </c>
      <c r="I62" s="63" t="s">
        <v>17</v>
      </c>
      <c r="J62" s="20"/>
    </row>
    <row r="63" spans="1:12" s="65" customFormat="1" ht="19.5" customHeight="1" x14ac:dyDescent="0.3">
      <c r="B63" s="159" t="s">
        <v>90</v>
      </c>
      <c r="C63" s="159"/>
      <c r="D63" s="159"/>
      <c r="E63" s="95" t="str">
        <f t="shared" si="1"/>
        <v/>
      </c>
      <c r="F63" s="111">
        <f>D26*E18</f>
        <v>0</v>
      </c>
      <c r="G63" s="95" t="str">
        <f t="shared" si="1"/>
        <v/>
      </c>
      <c r="H63" s="111">
        <f>F26*E19</f>
        <v>0</v>
      </c>
      <c r="I63" s="63" t="s">
        <v>17</v>
      </c>
    </row>
    <row r="64" spans="1:12" s="16" customFormat="1" ht="25.5" customHeight="1" x14ac:dyDescent="0.35">
      <c r="A64" s="20"/>
      <c r="B64" s="159" t="s">
        <v>91</v>
      </c>
      <c r="C64" s="159"/>
      <c r="D64" s="159"/>
      <c r="E64" s="95" t="str">
        <f t="shared" si="1"/>
        <v/>
      </c>
      <c r="F64" s="112">
        <f>IF(D38=0,E18*F18,D32*E18)</f>
        <v>0</v>
      </c>
      <c r="G64" s="95" t="str">
        <f t="shared" si="1"/>
        <v/>
      </c>
      <c r="H64" s="112">
        <f>IF(D38=0,E19*(F19-H34*2.3),F32*E19)</f>
        <v>0</v>
      </c>
      <c r="I64" s="63" t="s">
        <v>17</v>
      </c>
      <c r="J64" s="20"/>
    </row>
    <row r="65" spans="1:10" s="16" customFormat="1" ht="19.5" customHeight="1" x14ac:dyDescent="0.35">
      <c r="A65" s="17"/>
      <c r="B65" s="159" t="s">
        <v>92</v>
      </c>
      <c r="C65" s="159"/>
      <c r="D65" s="159"/>
      <c r="E65" s="95" t="str">
        <f t="shared" si="1"/>
        <v/>
      </c>
      <c r="F65" s="64">
        <f>D18</f>
        <v>0</v>
      </c>
      <c r="G65" s="95" t="str">
        <f t="shared" si="1"/>
        <v/>
      </c>
      <c r="H65" s="64">
        <f>D19</f>
        <v>0</v>
      </c>
      <c r="I65" s="44"/>
      <c r="J65" s="17"/>
    </row>
    <row r="66" spans="1:10" s="16" customFormat="1" ht="28.5" customHeight="1" x14ac:dyDescent="0.35">
      <c r="A66" s="17"/>
      <c r="B66" s="160" t="s">
        <v>98</v>
      </c>
      <c r="C66" s="160"/>
      <c r="D66" s="160"/>
      <c r="E66" s="160"/>
      <c r="F66" s="160"/>
      <c r="G66" s="160"/>
      <c r="H66" s="158" t="str">
        <f>IFERROR(1-(H64/F64),"")</f>
        <v/>
      </c>
      <c r="I66" s="158"/>
      <c r="J66" s="17"/>
    </row>
    <row r="67" spans="1:10" s="16" customFormat="1" ht="28.5" customHeight="1" x14ac:dyDescent="0.35">
      <c r="A67" s="17"/>
      <c r="B67" s="161" t="str">
        <f>IF(H66&lt;0.3,"Az energiahatékonysági fejlesztések által elért primerenergia-felhasználás  csökkenése nem éri el a Felhívásban meghatározott 30%-ot, ezért a Projekt nem támogatható!","")</f>
        <v/>
      </c>
      <c r="C67" s="161"/>
      <c r="D67" s="161"/>
      <c r="E67" s="161"/>
      <c r="F67" s="161"/>
      <c r="G67" s="161"/>
      <c r="H67" s="161"/>
      <c r="I67" s="161"/>
      <c r="J67" s="17"/>
    </row>
    <row r="68" spans="1:10" s="16" customFormat="1" ht="23.15" customHeight="1" x14ac:dyDescent="0.3">
      <c r="B68" s="19" t="s">
        <v>6</v>
      </c>
      <c r="C68" s="157"/>
      <c r="D68" s="157"/>
      <c r="H68" s="50"/>
    </row>
    <row r="69" spans="1:10" s="16" customFormat="1" ht="13" x14ac:dyDescent="0.35">
      <c r="B69" s="66"/>
      <c r="F69" s="153"/>
      <c r="G69" s="153"/>
      <c r="H69" s="153"/>
    </row>
    <row r="70" spans="1:10" s="16" customFormat="1" ht="13" x14ac:dyDescent="0.35">
      <c r="B70" s="66"/>
      <c r="F70" s="156" t="str">
        <f>+IF(ISBLANK(F9),"",F9)</f>
        <v/>
      </c>
      <c r="G70" s="156"/>
      <c r="H70" s="156"/>
    </row>
    <row r="71" spans="1:10" s="16" customFormat="1" ht="14.5" customHeight="1" x14ac:dyDescent="0.35">
      <c r="B71" s="66"/>
      <c r="F71" s="155" t="s">
        <v>30</v>
      </c>
      <c r="G71" s="155"/>
      <c r="H71" s="155"/>
      <c r="J71" s="50"/>
    </row>
    <row r="72" spans="1:10" s="16" customFormat="1" ht="13" x14ac:dyDescent="0.35">
      <c r="B72" s="66"/>
      <c r="F72" s="153"/>
      <c r="G72" s="153"/>
      <c r="H72" s="153"/>
      <c r="J72" s="50"/>
    </row>
    <row r="73" spans="1:10" s="6" customFormat="1" x14ac:dyDescent="0.35">
      <c r="B73" s="152" t="s">
        <v>34</v>
      </c>
      <c r="C73" s="152"/>
      <c r="D73" s="152"/>
      <c r="E73" s="152"/>
      <c r="F73" s="152"/>
      <c r="G73" s="152"/>
      <c r="H73" s="152"/>
      <c r="I73" s="152"/>
      <c r="J73" s="14"/>
    </row>
    <row r="74" spans="1:10" s="16" customFormat="1" ht="41.15" customHeight="1" x14ac:dyDescent="0.35">
      <c r="B74" s="66"/>
      <c r="C74" s="153"/>
      <c r="D74" s="153"/>
      <c r="E74" s="153"/>
      <c r="G74" s="67"/>
      <c r="H74" s="67"/>
      <c r="J74" s="50"/>
    </row>
    <row r="75" spans="1:10" s="16" customFormat="1" ht="13" x14ac:dyDescent="0.35">
      <c r="B75" s="66"/>
      <c r="D75" s="151" t="s">
        <v>31</v>
      </c>
      <c r="E75" s="151"/>
      <c r="G75" s="151" t="s">
        <v>31</v>
      </c>
      <c r="H75" s="151"/>
      <c r="J75" s="50"/>
    </row>
    <row r="76" spans="1:10" s="16" customFormat="1" ht="23.15" customHeight="1" x14ac:dyDescent="0.35">
      <c r="B76" s="66"/>
      <c r="D76" s="154"/>
      <c r="E76" s="154"/>
      <c r="G76" s="154"/>
      <c r="H76" s="154"/>
      <c r="J76" s="50"/>
    </row>
    <row r="77" spans="1:10" s="16" customFormat="1" ht="14.5" customHeight="1" x14ac:dyDescent="0.35">
      <c r="B77" s="66"/>
      <c r="D77" s="151" t="s">
        <v>32</v>
      </c>
      <c r="E77" s="151"/>
      <c r="G77" s="151" t="s">
        <v>32</v>
      </c>
      <c r="H77" s="151"/>
      <c r="J77" s="50"/>
    </row>
    <row r="78" spans="1:10" s="16" customFormat="1" ht="23.15" customHeight="1" x14ac:dyDescent="0.35">
      <c r="B78" s="66"/>
      <c r="D78" s="154"/>
      <c r="E78" s="154"/>
      <c r="G78" s="154"/>
      <c r="H78" s="154"/>
      <c r="J78" s="50"/>
    </row>
    <row r="79" spans="1:10" s="16" customFormat="1" ht="13" x14ac:dyDescent="0.35">
      <c r="B79" s="66"/>
      <c r="D79" s="151" t="s">
        <v>33</v>
      </c>
      <c r="E79" s="151"/>
      <c r="G79" s="151" t="s">
        <v>33</v>
      </c>
      <c r="H79" s="151"/>
      <c r="J79" s="50"/>
    </row>
    <row r="80" spans="1:10" hidden="1" x14ac:dyDescent="0.35">
      <c r="J80" s="14"/>
    </row>
    <row r="81" spans="10:10" hidden="1" x14ac:dyDescent="0.35">
      <c r="J81" s="14"/>
    </row>
    <row r="82" spans="10:10" hidden="1" x14ac:dyDescent="0.35">
      <c r="J82" s="14"/>
    </row>
  </sheetData>
  <sheetProtection algorithmName="SHA-512" hashValue="qI7iwIe8MxOImM8ZCyX69nCqG7EZfPGRPFlh4M/lksY97AEJMuaywIgOvzmNbJT1eYvCQuNRNbGxo8h098OyEg==" saltValue="wHRJjn71j+3TwxeuUP9xOw==" spinCount="100000" sheet="1" selectLockedCells="1"/>
  <customSheetViews>
    <customSheetView guid="{396A034F-45B2-4D1D-91F6-7C5931F382F0}" showGridLines="0" hiddenRows="1" hiddenColumns="1" topLeftCell="A15">
      <selection activeCell="I44" sqref="I44"/>
      <rowBreaks count="1" manualBreakCount="1">
        <brk id="50" max="16383" man="1"/>
      </rowBreaks>
      <pageMargins left="0.51181102362204722" right="0.51181102362204722" top="0.74803149606299213" bottom="0.55118110236220474" header="0.31496062992125984" footer="0.31496062992125984"/>
      <printOptions horizontalCentered="1"/>
      <pageSetup paperSize="9" scale="75" fitToHeight="0" orientation="portrait" r:id="rId1"/>
      <headerFooter>
        <oddHeader>&amp;LMFB Zrt.&amp;C&amp;9RRF-REP-10.13.1-24 OTTHONFELÚJÍTÁSI HITELPROGRAM - &amp;A&amp;R&amp;P.oldal</oddHeader>
      </headerFooter>
    </customSheetView>
  </customSheetViews>
  <mergeCells count="115">
    <mergeCell ref="B42:I42"/>
    <mergeCell ref="F38:G38"/>
    <mergeCell ref="B40:I40"/>
    <mergeCell ref="B56:D56"/>
    <mergeCell ref="B54:I54"/>
    <mergeCell ref="B55:I55"/>
    <mergeCell ref="B53:E53"/>
    <mergeCell ref="C41:E41"/>
    <mergeCell ref="G41:H41"/>
    <mergeCell ref="C43:H43"/>
    <mergeCell ref="C45:H45"/>
    <mergeCell ref="G49:I49"/>
    <mergeCell ref="C47:E47"/>
    <mergeCell ref="C44:H44"/>
    <mergeCell ref="F53:I53"/>
    <mergeCell ref="B52:C52"/>
    <mergeCell ref="G50:I50"/>
    <mergeCell ref="F33:G33"/>
    <mergeCell ref="F28:G28"/>
    <mergeCell ref="D29:E29"/>
    <mergeCell ref="F29:G29"/>
    <mergeCell ref="B30:C30"/>
    <mergeCell ref="D30:E30"/>
    <mergeCell ref="F30:G30"/>
    <mergeCell ref="B31:C31"/>
    <mergeCell ref="B38:C38"/>
    <mergeCell ref="D38:E38"/>
    <mergeCell ref="D36:E36"/>
    <mergeCell ref="F36:G36"/>
    <mergeCell ref="F35:G35"/>
    <mergeCell ref="B36:C36"/>
    <mergeCell ref="B37:C37"/>
    <mergeCell ref="D37:E37"/>
    <mergeCell ref="F37:G37"/>
    <mergeCell ref="B67:I67"/>
    <mergeCell ref="B1:H1"/>
    <mergeCell ref="B2:H2"/>
    <mergeCell ref="B5:H5"/>
    <mergeCell ref="F6:H6"/>
    <mergeCell ref="F7:H7"/>
    <mergeCell ref="B9:E9"/>
    <mergeCell ref="F9:H9"/>
    <mergeCell ref="B10:E10"/>
    <mergeCell ref="F10:H10"/>
    <mergeCell ref="B8:E8"/>
    <mergeCell ref="F8:H8"/>
    <mergeCell ref="B6:C7"/>
    <mergeCell ref="D6:E6"/>
    <mergeCell ref="D7:E7"/>
    <mergeCell ref="D23:E23"/>
    <mergeCell ref="F23:G23"/>
    <mergeCell ref="B24:B26"/>
    <mergeCell ref="D24:E24"/>
    <mergeCell ref="F32:G32"/>
    <mergeCell ref="D31:E31"/>
    <mergeCell ref="F31:G31"/>
    <mergeCell ref="B33:C33"/>
    <mergeCell ref="D33:E33"/>
    <mergeCell ref="B61:D61"/>
    <mergeCell ref="B62:D62"/>
    <mergeCell ref="B63:D63"/>
    <mergeCell ref="B64:D64"/>
    <mergeCell ref="B65:D65"/>
    <mergeCell ref="B57:D57"/>
    <mergeCell ref="B58:D58"/>
    <mergeCell ref="B66:G66"/>
    <mergeCell ref="B60:D60"/>
    <mergeCell ref="D26:E26"/>
    <mergeCell ref="F26:G26"/>
    <mergeCell ref="B27:B29"/>
    <mergeCell ref="D28:E28"/>
    <mergeCell ref="D79:E79"/>
    <mergeCell ref="B73:I73"/>
    <mergeCell ref="C74:E74"/>
    <mergeCell ref="D76:E76"/>
    <mergeCell ref="D75:E75"/>
    <mergeCell ref="D77:E77"/>
    <mergeCell ref="G77:H77"/>
    <mergeCell ref="G75:H75"/>
    <mergeCell ref="G76:H76"/>
    <mergeCell ref="G78:H78"/>
    <mergeCell ref="G79:H79"/>
    <mergeCell ref="F71:H71"/>
    <mergeCell ref="D78:E78"/>
    <mergeCell ref="F72:H72"/>
    <mergeCell ref="F69:H69"/>
    <mergeCell ref="F70:H70"/>
    <mergeCell ref="D35:E35"/>
    <mergeCell ref="C68:D68"/>
    <mergeCell ref="H66:I66"/>
    <mergeCell ref="B59:D59"/>
    <mergeCell ref="I10:I11"/>
    <mergeCell ref="B21:H21"/>
    <mergeCell ref="B22:C23"/>
    <mergeCell ref="B12:H12"/>
    <mergeCell ref="B11:E11"/>
    <mergeCell ref="F11:H11"/>
    <mergeCell ref="B16:H16"/>
    <mergeCell ref="B13:D14"/>
    <mergeCell ref="B34:B35"/>
    <mergeCell ref="D34:E34"/>
    <mergeCell ref="F34:G34"/>
    <mergeCell ref="B32:C32"/>
    <mergeCell ref="D32:E32"/>
    <mergeCell ref="D22:G22"/>
    <mergeCell ref="H22:H23"/>
    <mergeCell ref="B18:C18"/>
    <mergeCell ref="I13:I14"/>
    <mergeCell ref="D27:E27"/>
    <mergeCell ref="F27:G27"/>
    <mergeCell ref="F24:G24"/>
    <mergeCell ref="D25:E25"/>
    <mergeCell ref="F25:G25"/>
    <mergeCell ref="B19:C19"/>
    <mergeCell ref="B17:C17"/>
  </mergeCells>
  <phoneticPr fontId="9" type="noConversion"/>
  <conditionalFormatting sqref="B24 B27">
    <cfRule type="expression" dxfId="44" priority="55">
      <formula>COUNTA(B24)=1</formula>
    </cfRule>
  </conditionalFormatting>
  <conditionalFormatting sqref="B30:B34">
    <cfRule type="expression" dxfId="43" priority="1">
      <formula>COUNTA(B30)=1</formula>
    </cfRule>
  </conditionalFormatting>
  <conditionalFormatting sqref="B36:B38">
    <cfRule type="expression" dxfId="42" priority="57">
      <formula>COUNTA(B36)=1</formula>
    </cfRule>
  </conditionalFormatting>
  <conditionalFormatting sqref="B53">
    <cfRule type="cellIs" dxfId="41" priority="51" operator="equal">
      <formula>0</formula>
    </cfRule>
  </conditionalFormatting>
  <conditionalFormatting sqref="C41:E41 G41:H41">
    <cfRule type="cellIs" dxfId="40" priority="50" operator="equal">
      <formula>1</formula>
    </cfRule>
  </conditionalFormatting>
  <conditionalFormatting sqref="D18:D19">
    <cfRule type="notContainsBlanks" dxfId="39" priority="41">
      <formula>LEN(TRIM(D18))&gt;0</formula>
    </cfRule>
  </conditionalFormatting>
  <conditionalFormatting sqref="D76:E76">
    <cfRule type="containsBlanks" dxfId="38" priority="8">
      <formula>LEN(TRIM(D76))=0</formula>
    </cfRule>
  </conditionalFormatting>
  <conditionalFormatting sqref="D78:E78">
    <cfRule type="containsBlanks" dxfId="37" priority="7">
      <formula>LEN(TRIM(D78))=0</formula>
    </cfRule>
  </conditionalFormatting>
  <conditionalFormatting sqref="D24:G31 D33:G37">
    <cfRule type="containsBlanks" dxfId="36" priority="9">
      <formula>LEN(TRIM(D24))=0</formula>
    </cfRule>
  </conditionalFormatting>
  <conditionalFormatting sqref="E18">
    <cfRule type="containsBlanks" dxfId="35" priority="11">
      <formula>LEN(TRIM(E18))=0</formula>
    </cfRule>
  </conditionalFormatting>
  <conditionalFormatting sqref="E57">
    <cfRule type="cellIs" dxfId="34" priority="40" operator="equal">
      <formula>0</formula>
    </cfRule>
  </conditionalFormatting>
  <conditionalFormatting sqref="E14:H14 C68:D68">
    <cfRule type="containsBlanks" dxfId="33" priority="4">
      <formula>LEN(TRIM(C14))=0</formula>
    </cfRule>
  </conditionalFormatting>
  <conditionalFormatting sqref="E19:H19">
    <cfRule type="cellIs" dxfId="32" priority="21" operator="equal">
      <formula>0</formula>
    </cfRule>
  </conditionalFormatting>
  <conditionalFormatting sqref="F65 H65">
    <cfRule type="cellIs" dxfId="31" priority="32" operator="equal">
      <formula>0</formula>
    </cfRule>
  </conditionalFormatting>
  <conditionalFormatting sqref="F18:G18">
    <cfRule type="cellIs" dxfId="30" priority="39" operator="equal">
      <formula>0</formula>
    </cfRule>
  </conditionalFormatting>
  <conditionalFormatting sqref="F6:H11">
    <cfRule type="containsBlanks" dxfId="29" priority="13">
      <formula>LEN(TRIM(F6))=0</formula>
    </cfRule>
  </conditionalFormatting>
  <conditionalFormatting sqref="G18">
    <cfRule type="cellIs" dxfId="28" priority="20" operator="equal">
      <formula>0</formula>
    </cfRule>
  </conditionalFormatting>
  <conditionalFormatting sqref="G19">
    <cfRule type="cellIs" dxfId="27" priority="19" operator="equal">
      <formula>0</formula>
    </cfRule>
  </conditionalFormatting>
  <conditionalFormatting sqref="G57">
    <cfRule type="cellIs" dxfId="26" priority="2" operator="equal">
      <formula>0</formula>
    </cfRule>
  </conditionalFormatting>
  <conditionalFormatting sqref="G18:H18">
    <cfRule type="containsBlanks" dxfId="25" priority="10">
      <formula>LEN(TRIM(G18))=0</formula>
    </cfRule>
  </conditionalFormatting>
  <conditionalFormatting sqref="G76:H76">
    <cfRule type="containsBlanks" dxfId="24" priority="6">
      <formula>LEN(TRIM(G76))=0</formula>
    </cfRule>
  </conditionalFormatting>
  <conditionalFormatting sqref="G78:H78">
    <cfRule type="containsBlanks" dxfId="23" priority="5">
      <formula>LEN(TRIM(G78))=0</formula>
    </cfRule>
  </conditionalFormatting>
  <conditionalFormatting sqref="I43:I44">
    <cfRule type="cellIs" dxfId="22" priority="3" operator="equal">
      <formula>"Nem"</formula>
    </cfRule>
  </conditionalFormatting>
  <dataValidations count="7">
    <dataValidation allowBlank="1" showInputMessage="1" showErrorMessage="1" prompt="Helység és dátum megadása." sqref="C47" xr:uid="{00000000-0002-0000-0700-000001000000}"/>
    <dataValidation allowBlank="1" showErrorMessage="1" prompt="A hitelkérelemben megadott adatokkal összhangban szükséges megadni." sqref="B24 B27 B36:B39 E18:F18 G17 B30:B34 D24:D39 H24:H39 F23:F39" xr:uid="{00000000-0002-0000-0700-000002000000}"/>
    <dataValidation allowBlank="1" showErrorMessage="1" prompt="Energetikai tanúsítványt és számításokat végző természetes személy teljes neve." sqref="F6 F11" xr:uid="{00000000-0002-0000-0700-000003000000}"/>
    <dataValidation allowBlank="1" showErrorMessage="1" prompt="Energetikai tanúsítványt és számításokat végző természetes személy josoltsági száma, mely alapján tanúsítás elkészítésére jogosult." sqref="F7:F8" xr:uid="{00000000-0002-0000-0700-000004000000}"/>
    <dataValidation type="list" allowBlank="1" showInputMessage="1" showErrorMessage="1" prompt="Kérem válasszon a legördülő listából." sqref="I43:I45" xr:uid="{00000000-0002-0000-0700-000006000000}">
      <formula1>"Igen,Nem"</formula1>
    </dataValidation>
    <dataValidation allowBlank="1" showErrorMessage="1" sqref="F9:H10" xr:uid="{36713F38-816D-41B8-85A4-63C083F8B74A}"/>
    <dataValidation type="list" allowBlank="1" showInputMessage="1" showErrorMessage="1" sqref="E14:H14" xr:uid="{516BEF36-DB12-41D3-A867-E7DCFD7E200A}">
      <formula1>"Igen,Nem"</formula1>
    </dataValidation>
  </dataValidations>
  <printOptions horizontalCentered="1"/>
  <pageMargins left="0.51181102362204722" right="0.51181102362204722" top="0.74803149606299213" bottom="0.55118110236220474" header="0.31496062992125984" footer="0.31496062992125984"/>
  <pageSetup paperSize="9" scale="75" fitToHeight="0" orientation="portrait" r:id="rId2"/>
  <headerFooter>
    <oddHeader>&amp;LMFB Zrt.&amp;C&amp;9KEHOP Plusz-4.1.7-24 OTTHONFELÚJÍTÁSI HITELPROGRAM - &amp;A&amp;R&amp;P.oldal</oddHeader>
  </headerFooter>
  <rowBreaks count="1" manualBreakCount="1">
    <brk id="39" max="8" man="1"/>
  </rowBreaks>
  <ignoredErrors>
    <ignoredError sqref="B53 E58:E65" unlockedFormula="1"/>
    <ignoredError sqref="F58:F60 F61:F65 G61" formula="1"/>
  </ignoredErrors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Hibás energetikai besorolás" error="Hibás energetikai besorolás" xr:uid="{00000000-0002-0000-0700-000007000000}">
          <x14:formula1>
            <xm:f>érv!$B$1:$B$12</xm:f>
          </x14:formula1>
          <xm:sqref>D18:D19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Munka4">
    <tabColor theme="3"/>
  </sheetPr>
  <dimension ref="A1:K81"/>
  <sheetViews>
    <sheetView showGridLines="0" tabSelected="1" zoomScaleNormal="100" zoomScaleSheetLayoutView="100" zoomScalePageLayoutView="80" workbookViewId="0">
      <selection activeCell="C68" sqref="C68:E68"/>
    </sheetView>
  </sheetViews>
  <sheetFormatPr defaultColWidth="0" defaultRowHeight="14.5" zeroHeight="1" x14ac:dyDescent="0.35"/>
  <cols>
    <col min="1" max="1" width="1.26953125" style="6" customWidth="1"/>
    <col min="2" max="2" width="4.1796875" style="6" customWidth="1"/>
    <col min="3" max="3" width="16.1796875" style="6" customWidth="1"/>
    <col min="4" max="4" width="14.26953125" style="6" customWidth="1"/>
    <col min="5" max="5" width="16.54296875" style="6" customWidth="1"/>
    <col min="6" max="7" width="15.26953125" style="6" customWidth="1"/>
    <col min="8" max="8" width="15.7265625" style="6" customWidth="1"/>
    <col min="9" max="9" width="15.26953125" style="6" customWidth="1"/>
    <col min="10" max="10" width="1.26953125" style="6" customWidth="1"/>
    <col min="11" max="11" width="0" style="13" hidden="1" customWidth="1"/>
    <col min="12" max="16384" width="9.1796875" style="13" hidden="1"/>
  </cols>
  <sheetData>
    <row r="1" spans="1:11" s="25" customFormat="1" ht="80.150000000000006" customHeight="1" x14ac:dyDescent="0.45">
      <c r="A1" s="4"/>
      <c r="B1" s="162" t="s">
        <v>158</v>
      </c>
      <c r="C1" s="162"/>
      <c r="D1" s="162"/>
      <c r="E1" s="162"/>
      <c r="F1" s="162"/>
      <c r="G1" s="162"/>
      <c r="H1" s="162"/>
      <c r="I1" s="162"/>
      <c r="J1" s="7"/>
    </row>
    <row r="2" spans="1:11" s="25" customFormat="1" ht="18.5" x14ac:dyDescent="0.35">
      <c r="A2" s="4"/>
      <c r="B2" s="163" t="s">
        <v>57</v>
      </c>
      <c r="C2" s="163"/>
      <c r="D2" s="163"/>
      <c r="E2" s="163"/>
      <c r="F2" s="163"/>
      <c r="G2" s="163"/>
      <c r="H2" s="163"/>
      <c r="I2" s="163"/>
      <c r="J2" s="7"/>
      <c r="K2" s="23"/>
    </row>
    <row r="3" spans="1:11" s="32" customFormat="1" ht="18.5" x14ac:dyDescent="0.45">
      <c r="A3" s="9"/>
      <c r="B3" s="191" t="s">
        <v>29</v>
      </c>
      <c r="C3" s="191"/>
      <c r="D3" s="191"/>
      <c r="E3" s="191"/>
      <c r="F3" s="191"/>
      <c r="G3" s="191"/>
      <c r="H3" s="191"/>
      <c r="I3" s="88" t="str">
        <f>'01_Energetikai nyilatkozat'!H3</f>
        <v>2025. 10.15-től</v>
      </c>
      <c r="J3" s="10"/>
      <c r="K3" s="24"/>
    </row>
    <row r="4" spans="1:11" s="31" customFormat="1" ht="18.649999999999999" customHeight="1" x14ac:dyDescent="0.35">
      <c r="A4" s="3"/>
      <c r="B4" s="164" t="s">
        <v>7</v>
      </c>
      <c r="C4" s="164"/>
      <c r="D4" s="164"/>
      <c r="E4" s="164"/>
      <c r="F4" s="164"/>
      <c r="G4" s="164"/>
      <c r="H4" s="164"/>
      <c r="I4" s="164"/>
      <c r="J4" s="3"/>
    </row>
    <row r="5" spans="1:11" s="31" customFormat="1" ht="19" customHeight="1" x14ac:dyDescent="0.35">
      <c r="A5" s="3"/>
      <c r="B5" s="225" t="s">
        <v>123</v>
      </c>
      <c r="C5" s="226"/>
      <c r="D5" s="227"/>
      <c r="E5" s="81" t="s">
        <v>122</v>
      </c>
      <c r="F5" s="192"/>
      <c r="G5" s="192"/>
      <c r="H5" s="192"/>
      <c r="I5" s="192"/>
      <c r="J5" s="3"/>
    </row>
    <row r="6" spans="1:11" s="31" customFormat="1" ht="19" customHeight="1" x14ac:dyDescent="0.35">
      <c r="A6" s="3"/>
      <c r="B6" s="228"/>
      <c r="C6" s="229"/>
      <c r="D6" s="230"/>
      <c r="E6" s="82" t="s">
        <v>124</v>
      </c>
      <c r="F6" s="192"/>
      <c r="G6" s="192"/>
      <c r="H6" s="192"/>
      <c r="I6" s="192"/>
      <c r="J6" s="3"/>
    </row>
    <row r="7" spans="1:11" s="31" customFormat="1" ht="19" customHeight="1" x14ac:dyDescent="0.35">
      <c r="A7" s="3"/>
      <c r="B7" s="166" t="s">
        <v>116</v>
      </c>
      <c r="C7" s="166"/>
      <c r="D7" s="166"/>
      <c r="E7" s="166"/>
      <c r="F7" s="192"/>
      <c r="G7" s="192"/>
      <c r="H7" s="192"/>
      <c r="I7" s="192"/>
      <c r="J7" s="3"/>
    </row>
    <row r="8" spans="1:11" s="31" customFormat="1" ht="19" customHeight="1" x14ac:dyDescent="0.35">
      <c r="A8" s="3"/>
      <c r="B8" s="138" t="s">
        <v>121</v>
      </c>
      <c r="C8" s="138"/>
      <c r="D8" s="138"/>
      <c r="E8" s="138"/>
      <c r="F8" s="193" t="str" cm="1">
        <f t="array" ref="F8">IF(ISBLANK('01_Energetikai nyilatkozat'!F9:F9),"",'01_Energetikai nyilatkozat'!F9:F9)</f>
        <v/>
      </c>
      <c r="G8" s="193"/>
      <c r="H8" s="193"/>
      <c r="I8" s="193"/>
      <c r="J8" s="3"/>
    </row>
    <row r="9" spans="1:11" s="31" customFormat="1" ht="19" customHeight="1" x14ac:dyDescent="0.35">
      <c r="A9" s="3"/>
      <c r="B9" s="138" t="s">
        <v>126</v>
      </c>
      <c r="C9" s="138"/>
      <c r="D9" s="138"/>
      <c r="E9" s="138"/>
      <c r="F9" s="193" t="str" cm="1">
        <f t="array" ref="F9">IF(ISBLANK('01_Energetikai nyilatkozat'!F10:F10),"",'01_Energetikai nyilatkozat'!F10:F10)</f>
        <v/>
      </c>
      <c r="G9" s="193"/>
      <c r="H9" s="193"/>
      <c r="I9" s="193"/>
      <c r="J9" s="3"/>
    </row>
    <row r="10" spans="1:11" s="31" customFormat="1" ht="10" customHeight="1" x14ac:dyDescent="0.35">
      <c r="A10" s="3"/>
      <c r="B10" s="3"/>
      <c r="C10" s="117"/>
      <c r="D10" s="117"/>
      <c r="E10" s="117"/>
      <c r="F10" s="117"/>
      <c r="G10" s="117"/>
      <c r="H10" s="117"/>
      <c r="I10" s="117"/>
      <c r="J10" s="3"/>
    </row>
    <row r="11" spans="1:11" s="31" customFormat="1" ht="65.150000000000006" customHeight="1" x14ac:dyDescent="0.35">
      <c r="A11" s="3"/>
      <c r="B11" s="247" t="s">
        <v>155</v>
      </c>
      <c r="C11" s="248"/>
      <c r="D11" s="248"/>
      <c r="E11" s="249"/>
      <c r="F11" s="89" t="s">
        <v>71</v>
      </c>
      <c r="G11" s="89" t="s">
        <v>75</v>
      </c>
      <c r="H11" s="89" t="s">
        <v>70</v>
      </c>
      <c r="I11" s="89" t="s">
        <v>161</v>
      </c>
      <c r="J11" s="3"/>
    </row>
    <row r="12" spans="1:11" s="31" customFormat="1" ht="24" customHeight="1" x14ac:dyDescent="0.35">
      <c r="A12" s="3"/>
      <c r="B12" s="250"/>
      <c r="C12" s="251"/>
      <c r="D12" s="251"/>
      <c r="E12" s="252"/>
      <c r="F12" s="90"/>
      <c r="G12" s="90"/>
      <c r="H12" s="90"/>
      <c r="I12" s="90"/>
      <c r="J12" s="3"/>
    </row>
    <row r="13" spans="1:11" s="31" customFormat="1" ht="10.5" customHeight="1" x14ac:dyDescent="0.35">
      <c r="A13" s="3"/>
      <c r="B13" s="253"/>
      <c r="C13" s="253"/>
      <c r="D13" s="253"/>
      <c r="E13" s="253"/>
      <c r="F13" s="253"/>
      <c r="G13" s="253"/>
      <c r="H13" s="253"/>
      <c r="I13" s="253"/>
      <c r="J13" s="3"/>
    </row>
    <row r="14" spans="1:11" s="31" customFormat="1" ht="18.649999999999999" customHeight="1" x14ac:dyDescent="0.35">
      <c r="A14" s="1"/>
      <c r="B14" s="256" t="s">
        <v>8</v>
      </c>
      <c r="C14" s="257"/>
      <c r="D14" s="257"/>
      <c r="E14" s="257"/>
      <c r="F14" s="257"/>
      <c r="G14" s="257"/>
      <c r="H14" s="257"/>
      <c r="I14" s="258"/>
      <c r="J14" s="1"/>
    </row>
    <row r="15" spans="1:11" s="31" customFormat="1" ht="53.5" x14ac:dyDescent="0.35">
      <c r="A15" s="1"/>
      <c r="B15" s="201"/>
      <c r="C15" s="201"/>
      <c r="D15" s="201"/>
      <c r="E15" s="49" t="s">
        <v>13</v>
      </c>
      <c r="F15" s="49" t="s">
        <v>19</v>
      </c>
      <c r="G15" s="49" t="s">
        <v>127</v>
      </c>
      <c r="H15" s="73" t="s">
        <v>10</v>
      </c>
      <c r="I15" s="73" t="s">
        <v>59</v>
      </c>
      <c r="J15" s="1"/>
    </row>
    <row r="16" spans="1:11" s="31" customFormat="1" ht="19.5" customHeight="1" x14ac:dyDescent="0.35">
      <c r="A16" s="1"/>
      <c r="B16" s="224" t="s">
        <v>9</v>
      </c>
      <c r="C16" s="224"/>
      <c r="D16" s="224"/>
      <c r="E16" s="96"/>
      <c r="F16" s="97"/>
      <c r="G16" s="97"/>
      <c r="H16" s="72">
        <f>G16*F16</f>
        <v>0</v>
      </c>
      <c r="I16" s="97"/>
      <c r="J16" s="1"/>
    </row>
    <row r="17" spans="1:10" s="31" customFormat="1" ht="19.5" customHeight="1" x14ac:dyDescent="0.35">
      <c r="A17" s="1"/>
      <c r="B17" s="224" t="s">
        <v>18</v>
      </c>
      <c r="C17" s="224"/>
      <c r="D17" s="224"/>
      <c r="E17" s="96"/>
      <c r="F17" s="97"/>
      <c r="G17" s="97"/>
      <c r="H17" s="72">
        <f>G17*F17</f>
        <v>0</v>
      </c>
      <c r="I17" s="97"/>
      <c r="J17" s="1"/>
    </row>
    <row r="18" spans="1:10" s="31" customFormat="1" ht="4.5" customHeight="1" x14ac:dyDescent="0.35">
      <c r="A18" s="83"/>
      <c r="B18" s="83"/>
      <c r="C18" s="83"/>
      <c r="D18" s="83"/>
      <c r="E18" s="83"/>
      <c r="F18" s="83"/>
      <c r="G18" s="83"/>
      <c r="H18" s="83"/>
      <c r="I18" s="83"/>
      <c r="J18" s="83"/>
    </row>
    <row r="19" spans="1:10" s="31" customFormat="1" ht="18.649999999999999" customHeight="1" x14ac:dyDescent="0.35">
      <c r="A19" s="3"/>
      <c r="B19" s="194" t="s">
        <v>37</v>
      </c>
      <c r="C19" s="195"/>
      <c r="D19" s="195"/>
      <c r="E19" s="195"/>
      <c r="F19" s="195"/>
      <c r="G19" s="195"/>
      <c r="H19" s="195"/>
      <c r="I19" s="196"/>
      <c r="J19" s="3"/>
    </row>
    <row r="20" spans="1:10" s="31" customFormat="1" ht="15.75" customHeight="1" x14ac:dyDescent="0.35">
      <c r="A20" s="3"/>
      <c r="B20" s="138" t="s">
        <v>38</v>
      </c>
      <c r="C20" s="138"/>
      <c r="D20" s="138"/>
      <c r="E20" s="197" t="s">
        <v>39</v>
      </c>
      <c r="F20" s="198"/>
      <c r="G20" s="198"/>
      <c r="H20" s="199"/>
      <c r="I20" s="200" t="s">
        <v>40</v>
      </c>
      <c r="J20" s="3"/>
    </row>
    <row r="21" spans="1:10" s="31" customFormat="1" ht="29.25" customHeight="1" x14ac:dyDescent="0.35">
      <c r="A21" s="3"/>
      <c r="B21" s="138"/>
      <c r="C21" s="138"/>
      <c r="D21" s="138"/>
      <c r="E21" s="201" t="s">
        <v>95</v>
      </c>
      <c r="F21" s="201"/>
      <c r="G21" s="197" t="s">
        <v>103</v>
      </c>
      <c r="H21" s="199"/>
      <c r="I21" s="200"/>
      <c r="J21" s="3"/>
    </row>
    <row r="22" spans="1:10" s="31" customFormat="1" ht="19.5" customHeight="1" x14ac:dyDescent="0.35">
      <c r="A22" s="3"/>
      <c r="B22" s="202" t="s">
        <v>41</v>
      </c>
      <c r="C22" s="202"/>
      <c r="D22" s="74" t="s">
        <v>42</v>
      </c>
      <c r="E22" s="203"/>
      <c r="F22" s="203"/>
      <c r="G22" s="204"/>
      <c r="H22" s="205"/>
      <c r="I22" s="75">
        <f t="shared" ref="I22:I35" si="0">IFERROR(E22-G22,0)</f>
        <v>0</v>
      </c>
      <c r="J22" s="3"/>
    </row>
    <row r="23" spans="1:10" s="31" customFormat="1" ht="19.5" customHeight="1" x14ac:dyDescent="0.35">
      <c r="A23" s="3"/>
      <c r="B23" s="202"/>
      <c r="C23" s="202"/>
      <c r="D23" s="74" t="s">
        <v>43</v>
      </c>
      <c r="E23" s="203"/>
      <c r="F23" s="203"/>
      <c r="G23" s="204"/>
      <c r="H23" s="205"/>
      <c r="I23" s="75">
        <f t="shared" si="0"/>
        <v>0</v>
      </c>
      <c r="J23" s="3"/>
    </row>
    <row r="24" spans="1:10" s="31" customFormat="1" ht="19.5" customHeight="1" x14ac:dyDescent="0.35">
      <c r="A24" s="3"/>
      <c r="B24" s="202"/>
      <c r="C24" s="202"/>
      <c r="D24" s="74" t="s">
        <v>44</v>
      </c>
      <c r="E24" s="203"/>
      <c r="F24" s="203"/>
      <c r="G24" s="204"/>
      <c r="H24" s="205"/>
      <c r="I24" s="75">
        <f t="shared" si="0"/>
        <v>0</v>
      </c>
      <c r="J24" s="3"/>
    </row>
    <row r="25" spans="1:10" s="31" customFormat="1" ht="19.5" customHeight="1" x14ac:dyDescent="0.35">
      <c r="A25" s="3"/>
      <c r="B25" s="202" t="s">
        <v>45</v>
      </c>
      <c r="C25" s="202"/>
      <c r="D25" s="74" t="s">
        <v>42</v>
      </c>
      <c r="E25" s="203"/>
      <c r="F25" s="203"/>
      <c r="G25" s="204"/>
      <c r="H25" s="205"/>
      <c r="I25" s="75">
        <f t="shared" si="0"/>
        <v>0</v>
      </c>
      <c r="J25" s="3"/>
    </row>
    <row r="26" spans="1:10" s="31" customFormat="1" ht="19.5" customHeight="1" x14ac:dyDescent="0.35">
      <c r="A26" s="3"/>
      <c r="B26" s="202"/>
      <c r="C26" s="202"/>
      <c r="D26" s="74" t="s">
        <v>43</v>
      </c>
      <c r="E26" s="203"/>
      <c r="F26" s="203"/>
      <c r="G26" s="204"/>
      <c r="H26" s="205"/>
      <c r="I26" s="75">
        <f t="shared" si="0"/>
        <v>0</v>
      </c>
      <c r="J26" s="3"/>
    </row>
    <row r="27" spans="1:10" s="31" customFormat="1" ht="19.5" customHeight="1" x14ac:dyDescent="0.35">
      <c r="A27" s="3"/>
      <c r="B27" s="202"/>
      <c r="C27" s="202"/>
      <c r="D27" s="74" t="s">
        <v>44</v>
      </c>
      <c r="E27" s="203"/>
      <c r="F27" s="203"/>
      <c r="G27" s="204"/>
      <c r="H27" s="205"/>
      <c r="I27" s="75">
        <f t="shared" si="0"/>
        <v>0</v>
      </c>
      <c r="J27" s="3"/>
    </row>
    <row r="28" spans="1:10" s="31" customFormat="1" ht="19.5" customHeight="1" x14ac:dyDescent="0.35">
      <c r="A28" s="3"/>
      <c r="B28" s="202" t="s">
        <v>46</v>
      </c>
      <c r="C28" s="202"/>
      <c r="D28" s="202"/>
      <c r="E28" s="203"/>
      <c r="F28" s="203"/>
      <c r="G28" s="204"/>
      <c r="H28" s="205"/>
      <c r="I28" s="75">
        <f t="shared" si="0"/>
        <v>0</v>
      </c>
      <c r="J28" s="3"/>
    </row>
    <row r="29" spans="1:10" s="31" customFormat="1" ht="19.5" customHeight="1" x14ac:dyDescent="0.35">
      <c r="A29" s="3"/>
      <c r="B29" s="202" t="s">
        <v>47</v>
      </c>
      <c r="C29" s="202"/>
      <c r="D29" s="202"/>
      <c r="E29" s="203"/>
      <c r="F29" s="203"/>
      <c r="G29" s="204"/>
      <c r="H29" s="205"/>
      <c r="I29" s="75">
        <f t="shared" si="0"/>
        <v>0</v>
      </c>
      <c r="J29" s="3"/>
    </row>
    <row r="30" spans="1:10" s="31" customFormat="1" ht="19.5" customHeight="1" x14ac:dyDescent="0.35">
      <c r="A30" s="3"/>
      <c r="B30" s="206" t="s">
        <v>156</v>
      </c>
      <c r="C30" s="206"/>
      <c r="D30" s="206"/>
      <c r="E30" s="207">
        <f>SUM(E22:F29)</f>
        <v>0</v>
      </c>
      <c r="F30" s="207"/>
      <c r="G30" s="207">
        <f>SUM(G22:H29)</f>
        <v>0</v>
      </c>
      <c r="H30" s="207"/>
      <c r="I30" s="76">
        <f t="shared" ref="I30" si="1">E30-G30</f>
        <v>0</v>
      </c>
      <c r="J30" s="3"/>
    </row>
    <row r="31" spans="1:10" s="31" customFormat="1" ht="19.5" customHeight="1" x14ac:dyDescent="0.35">
      <c r="A31" s="3"/>
      <c r="B31" s="202" t="s">
        <v>48</v>
      </c>
      <c r="C31" s="202"/>
      <c r="D31" s="202"/>
      <c r="E31" s="203"/>
      <c r="F31" s="203"/>
      <c r="G31" s="204"/>
      <c r="H31" s="205"/>
      <c r="I31" s="75">
        <f t="shared" si="0"/>
        <v>0</v>
      </c>
      <c r="J31" s="3"/>
    </row>
    <row r="32" spans="1:10" s="31" customFormat="1" ht="19.5" customHeight="1" x14ac:dyDescent="0.35">
      <c r="A32" s="3"/>
      <c r="B32" s="202" t="s">
        <v>49</v>
      </c>
      <c r="C32" s="202"/>
      <c r="D32" s="74" t="s">
        <v>50</v>
      </c>
      <c r="E32" s="203"/>
      <c r="F32" s="203"/>
      <c r="G32" s="204"/>
      <c r="H32" s="205"/>
      <c r="I32" s="75">
        <f t="shared" si="0"/>
        <v>0</v>
      </c>
      <c r="J32" s="3"/>
    </row>
    <row r="33" spans="1:10" s="31" customFormat="1" ht="19.5" customHeight="1" x14ac:dyDescent="0.35">
      <c r="A33" s="3"/>
      <c r="B33" s="202"/>
      <c r="C33" s="202"/>
      <c r="D33" s="74" t="s">
        <v>51</v>
      </c>
      <c r="E33" s="203"/>
      <c r="F33" s="203"/>
      <c r="G33" s="204"/>
      <c r="H33" s="205"/>
      <c r="I33" s="75">
        <f t="shared" si="0"/>
        <v>0</v>
      </c>
      <c r="J33" s="3"/>
    </row>
    <row r="34" spans="1:10" s="31" customFormat="1" ht="19.5" customHeight="1" x14ac:dyDescent="0.35">
      <c r="A34" s="3"/>
      <c r="B34" s="202" t="s">
        <v>52</v>
      </c>
      <c r="C34" s="202"/>
      <c r="D34" s="202"/>
      <c r="E34" s="203"/>
      <c r="F34" s="203"/>
      <c r="G34" s="204"/>
      <c r="H34" s="205"/>
      <c r="I34" s="75">
        <f t="shared" si="0"/>
        <v>0</v>
      </c>
      <c r="J34" s="3"/>
    </row>
    <row r="35" spans="1:10" s="31" customFormat="1" ht="19.5" customHeight="1" x14ac:dyDescent="0.35">
      <c r="A35" s="3"/>
      <c r="B35" s="208" t="s">
        <v>53</v>
      </c>
      <c r="C35" s="208"/>
      <c r="D35" s="208"/>
      <c r="E35" s="203"/>
      <c r="F35" s="203"/>
      <c r="G35" s="204"/>
      <c r="H35" s="205"/>
      <c r="I35" s="75">
        <f t="shared" si="0"/>
        <v>0</v>
      </c>
      <c r="J35" s="3"/>
    </row>
    <row r="36" spans="1:10" s="31" customFormat="1" ht="19.5" customHeight="1" x14ac:dyDescent="0.35">
      <c r="A36" s="3"/>
      <c r="B36" s="206" t="s">
        <v>157</v>
      </c>
      <c r="C36" s="206"/>
      <c r="D36" s="206"/>
      <c r="E36" s="207">
        <f>SUM(E31:F35)</f>
        <v>0</v>
      </c>
      <c r="F36" s="207"/>
      <c r="G36" s="207">
        <f>SUM(G31:H35)</f>
        <v>0</v>
      </c>
      <c r="H36" s="207"/>
      <c r="I36" s="76">
        <f t="shared" ref="I36" si="2">E36-G36</f>
        <v>0</v>
      </c>
      <c r="J36" s="3"/>
    </row>
    <row r="37" spans="1:10" s="31" customFormat="1" ht="5.5" customHeight="1" x14ac:dyDescent="0.35">
      <c r="A37" s="3"/>
      <c r="B37" s="3"/>
      <c r="C37" s="27"/>
      <c r="D37" s="27"/>
      <c r="E37" s="27"/>
      <c r="F37" s="27"/>
      <c r="G37" s="27"/>
      <c r="H37" s="27"/>
      <c r="I37" s="27"/>
      <c r="J37" s="27"/>
    </row>
    <row r="38" spans="1:10" s="31" customFormat="1" ht="18.649999999999999" customHeight="1" x14ac:dyDescent="0.35">
      <c r="A38" s="3"/>
      <c r="B38" s="244" t="s">
        <v>138</v>
      </c>
      <c r="C38" s="245"/>
      <c r="D38" s="245"/>
      <c r="E38" s="245"/>
      <c r="F38" s="245"/>
      <c r="G38" s="245"/>
      <c r="H38" s="245"/>
      <c r="I38" s="246"/>
      <c r="J38" s="1"/>
    </row>
    <row r="39" spans="1:10" s="66" customFormat="1" ht="15" customHeight="1" x14ac:dyDescent="0.35">
      <c r="A39" s="84"/>
      <c r="B39" s="188" t="s">
        <v>0</v>
      </c>
      <c r="C39" s="189"/>
      <c r="D39" s="189"/>
      <c r="E39" s="189"/>
      <c r="F39" s="189"/>
      <c r="G39" s="189"/>
      <c r="H39" s="189"/>
      <c r="I39" s="231"/>
      <c r="J39" s="18"/>
    </row>
    <row r="40" spans="1:10" s="66" customFormat="1" ht="21" customHeight="1" x14ac:dyDescent="0.35">
      <c r="A40" s="84"/>
      <c r="B40" s="232" t="str">
        <f>IF(ISBLANK(F5),"",F5)</f>
        <v/>
      </c>
      <c r="C40" s="233"/>
      <c r="D40" s="233"/>
      <c r="E40" s="114" t="s">
        <v>1</v>
      </c>
      <c r="F40" s="237" t="str">
        <f>IF(ISBLANK(F6),"",F6)</f>
        <v/>
      </c>
      <c r="G40" s="237"/>
      <c r="H40" s="234" t="s">
        <v>20</v>
      </c>
      <c r="I40" s="235"/>
      <c r="J40" s="22"/>
    </row>
    <row r="41" spans="1:10" s="66" customFormat="1" ht="13" customHeight="1" x14ac:dyDescent="0.35">
      <c r="A41" s="84"/>
      <c r="B41" s="115"/>
      <c r="C41" s="238" t="s">
        <v>15</v>
      </c>
      <c r="D41" s="238"/>
      <c r="E41" s="238"/>
      <c r="F41" s="238"/>
      <c r="G41" s="238"/>
      <c r="H41" s="238"/>
      <c r="I41" s="239"/>
      <c r="J41" s="18"/>
    </row>
    <row r="42" spans="1:10" s="66" customFormat="1" ht="28.5" customHeight="1" x14ac:dyDescent="0.35">
      <c r="A42" s="18"/>
      <c r="B42" s="49" t="s">
        <v>2</v>
      </c>
      <c r="C42" s="240" t="s">
        <v>152</v>
      </c>
      <c r="D42" s="241"/>
      <c r="E42" s="241"/>
      <c r="F42" s="241"/>
      <c r="G42" s="241"/>
      <c r="H42" s="242"/>
      <c r="I42" s="98"/>
    </row>
    <row r="43" spans="1:10" s="66" customFormat="1" ht="28.5" customHeight="1" x14ac:dyDescent="0.35">
      <c r="A43" s="18"/>
      <c r="B43" s="49" t="s">
        <v>3</v>
      </c>
      <c r="C43" s="240" t="s">
        <v>36</v>
      </c>
      <c r="D43" s="241"/>
      <c r="E43" s="241"/>
      <c r="F43" s="241"/>
      <c r="G43" s="241"/>
      <c r="H43" s="242"/>
      <c r="I43" s="98"/>
    </row>
    <row r="44" spans="1:10" s="66" customFormat="1" ht="28.5" customHeight="1" x14ac:dyDescent="0.35">
      <c r="A44" s="18"/>
      <c r="B44" s="49" t="s">
        <v>4</v>
      </c>
      <c r="C44" s="240" t="s">
        <v>151</v>
      </c>
      <c r="D44" s="241"/>
      <c r="E44" s="241"/>
      <c r="F44" s="241"/>
      <c r="G44" s="241"/>
      <c r="H44" s="242"/>
      <c r="I44" s="98"/>
    </row>
    <row r="45" spans="1:10" s="66" customFormat="1" ht="53.5" customHeight="1" x14ac:dyDescent="0.35">
      <c r="A45" s="18"/>
      <c r="B45" s="49" t="s">
        <v>5</v>
      </c>
      <c r="C45" s="240" t="s">
        <v>160</v>
      </c>
      <c r="D45" s="241"/>
      <c r="E45" s="241"/>
      <c r="F45" s="241"/>
      <c r="G45" s="241"/>
      <c r="H45" s="242"/>
      <c r="I45" s="98"/>
    </row>
    <row r="46" spans="1:10" s="31" customFormat="1" ht="29.15" customHeight="1" x14ac:dyDescent="0.35">
      <c r="A46" s="1"/>
      <c r="B46" s="243" t="s">
        <v>153</v>
      </c>
      <c r="C46" s="243"/>
      <c r="D46" s="243"/>
      <c r="E46" s="243"/>
      <c r="F46" s="243"/>
      <c r="G46" s="243"/>
      <c r="H46" s="243"/>
      <c r="I46" s="243"/>
      <c r="J46" s="1"/>
    </row>
    <row r="47" spans="1:10" s="31" customFormat="1" ht="18.649999999999999" customHeight="1" x14ac:dyDescent="0.35">
      <c r="A47" s="1"/>
      <c r="B47" s="244" t="s">
        <v>55</v>
      </c>
      <c r="C47" s="245"/>
      <c r="D47" s="245"/>
      <c r="E47" s="245"/>
      <c r="F47" s="245"/>
      <c r="G47" s="245"/>
      <c r="H47" s="245"/>
      <c r="I47" s="246"/>
      <c r="J47" s="1"/>
    </row>
    <row r="48" spans="1:10" s="66" customFormat="1" ht="19" customHeight="1" x14ac:dyDescent="0.35">
      <c r="A48" s="18"/>
      <c r="B48" s="209"/>
      <c r="C48" s="210"/>
      <c r="D48" s="211"/>
      <c r="E48" s="77" t="s">
        <v>93</v>
      </c>
      <c r="F48" s="77" t="s">
        <v>80</v>
      </c>
      <c r="G48" s="77" t="s">
        <v>94</v>
      </c>
      <c r="H48" s="77" t="s">
        <v>81</v>
      </c>
      <c r="I48" s="77" t="s">
        <v>82</v>
      </c>
      <c r="J48" s="18"/>
    </row>
    <row r="49" spans="1:10" s="66" customFormat="1" ht="30.65" customHeight="1" x14ac:dyDescent="0.35">
      <c r="A49" s="18"/>
      <c r="B49" s="215" t="s">
        <v>83</v>
      </c>
      <c r="C49" s="215"/>
      <c r="D49" s="215"/>
      <c r="E49" s="99"/>
      <c r="F49" s="78">
        <v>0</v>
      </c>
      <c r="G49" s="99"/>
      <c r="H49" s="78">
        <v>1</v>
      </c>
      <c r="I49" s="85" t="s">
        <v>84</v>
      </c>
      <c r="J49" s="18"/>
    </row>
    <row r="50" spans="1:10" s="66" customFormat="1" ht="30.65" customHeight="1" x14ac:dyDescent="0.35">
      <c r="A50" s="18"/>
      <c r="B50" s="215" t="s">
        <v>85</v>
      </c>
      <c r="C50" s="215"/>
      <c r="D50" s="215"/>
      <c r="E50" s="100" t="str">
        <f>IF(ISBLANK(E$49),"",E$49)</f>
        <v/>
      </c>
      <c r="F50" s="79">
        <f>E25*F16</f>
        <v>0</v>
      </c>
      <c r="G50" s="100" t="str">
        <f t="shared" ref="G50:G57" si="3">IF(ISBLANK(G$49),"",G$49)</f>
        <v/>
      </c>
      <c r="H50" s="79">
        <f>G25*F17</f>
        <v>0</v>
      </c>
      <c r="I50" s="85" t="s">
        <v>17</v>
      </c>
      <c r="J50" s="18"/>
    </row>
    <row r="51" spans="1:10" s="66" customFormat="1" ht="30.65" customHeight="1" x14ac:dyDescent="0.35">
      <c r="A51" s="18"/>
      <c r="B51" s="215" t="s">
        <v>86</v>
      </c>
      <c r="C51" s="215"/>
      <c r="D51" s="215"/>
      <c r="E51" s="100" t="str">
        <f t="shared" ref="E51:E57" si="4">IF(ISBLANK(E$49),"",E$49)</f>
        <v/>
      </c>
      <c r="F51" s="79">
        <f>E26*F16+E27*F16</f>
        <v>0</v>
      </c>
      <c r="G51" s="100" t="str">
        <f t="shared" si="3"/>
        <v/>
      </c>
      <c r="H51" s="79">
        <f>G26*F17+G27*F17</f>
        <v>0</v>
      </c>
      <c r="I51" s="85" t="s">
        <v>17</v>
      </c>
      <c r="J51" s="18"/>
    </row>
    <row r="52" spans="1:10" s="66" customFormat="1" ht="30.65" customHeight="1" x14ac:dyDescent="0.35">
      <c r="A52" s="18"/>
      <c r="B52" s="215" t="s">
        <v>87</v>
      </c>
      <c r="C52" s="215"/>
      <c r="D52" s="215"/>
      <c r="E52" s="100" t="str">
        <f t="shared" si="4"/>
        <v/>
      </c>
      <c r="F52" s="79">
        <f>IFERROR((I16*F16)/1000,0)</f>
        <v>0</v>
      </c>
      <c r="G52" s="100" t="str">
        <f t="shared" si="3"/>
        <v/>
      </c>
      <c r="H52" s="79">
        <f>(I17*F17)/1000</f>
        <v>0</v>
      </c>
      <c r="I52" s="85" t="s">
        <v>97</v>
      </c>
      <c r="J52" s="18"/>
    </row>
    <row r="53" spans="1:10" s="66" customFormat="1" ht="30.65" customHeight="1" x14ac:dyDescent="0.35">
      <c r="A53" s="18"/>
      <c r="B53" s="215" t="s">
        <v>88</v>
      </c>
      <c r="C53" s="215"/>
      <c r="D53" s="215"/>
      <c r="E53" s="100" t="str">
        <f t="shared" si="4"/>
        <v/>
      </c>
      <c r="F53" s="79">
        <f>F56*0.0036</f>
        <v>0</v>
      </c>
      <c r="G53" s="100" t="str">
        <f t="shared" si="3"/>
        <v/>
      </c>
      <c r="H53" s="79">
        <f>H56*0.0036</f>
        <v>0</v>
      </c>
      <c r="I53" s="85" t="s">
        <v>16</v>
      </c>
      <c r="J53" s="18"/>
    </row>
    <row r="54" spans="1:10" s="66" customFormat="1" ht="30.65" customHeight="1" x14ac:dyDescent="0.35">
      <c r="A54" s="18"/>
      <c r="B54" s="215" t="s">
        <v>89</v>
      </c>
      <c r="C54" s="215"/>
      <c r="D54" s="215"/>
      <c r="E54" s="100" t="str">
        <f t="shared" si="4"/>
        <v/>
      </c>
      <c r="F54" s="79">
        <f>E28*F16</f>
        <v>0</v>
      </c>
      <c r="G54" s="100" t="str">
        <f t="shared" si="3"/>
        <v/>
      </c>
      <c r="H54" s="79">
        <f>G28*F17</f>
        <v>0</v>
      </c>
      <c r="I54" s="85" t="s">
        <v>17</v>
      </c>
      <c r="J54" s="18"/>
    </row>
    <row r="55" spans="1:10" s="66" customFormat="1" ht="30.65" customHeight="1" x14ac:dyDescent="0.35">
      <c r="A55" s="18"/>
      <c r="B55" s="215" t="s">
        <v>90</v>
      </c>
      <c r="C55" s="215"/>
      <c r="D55" s="215"/>
      <c r="E55" s="100" t="str">
        <f t="shared" si="4"/>
        <v/>
      </c>
      <c r="F55" s="79">
        <f>E24*F16</f>
        <v>0</v>
      </c>
      <c r="G55" s="100" t="str">
        <f t="shared" si="3"/>
        <v/>
      </c>
      <c r="H55" s="79">
        <f>G24*F17</f>
        <v>0</v>
      </c>
      <c r="I55" s="85" t="s">
        <v>17</v>
      </c>
      <c r="J55" s="18"/>
    </row>
    <row r="56" spans="1:10" s="66" customFormat="1" ht="30.65" customHeight="1" x14ac:dyDescent="0.35">
      <c r="A56" s="18"/>
      <c r="B56" s="215" t="s">
        <v>91</v>
      </c>
      <c r="C56" s="215"/>
      <c r="D56" s="215"/>
      <c r="E56" s="100" t="str">
        <f t="shared" si="4"/>
        <v/>
      </c>
      <c r="F56" s="80">
        <f>IF(E36=0,F16*G16,E30*F16)</f>
        <v>0</v>
      </c>
      <c r="G56" s="100" t="str">
        <f t="shared" si="3"/>
        <v/>
      </c>
      <c r="H56" s="80">
        <f>IF(E36=0,F17*(G17-I32*2.3),G30*F17)</f>
        <v>0</v>
      </c>
      <c r="I56" s="85" t="s">
        <v>17</v>
      </c>
      <c r="J56" s="18"/>
    </row>
    <row r="57" spans="1:10" s="66" customFormat="1" ht="30.65" customHeight="1" x14ac:dyDescent="0.35">
      <c r="A57" s="18"/>
      <c r="B57" s="215" t="s">
        <v>92</v>
      </c>
      <c r="C57" s="215"/>
      <c r="D57" s="215"/>
      <c r="E57" s="100" t="str">
        <f t="shared" si="4"/>
        <v/>
      </c>
      <c r="F57" s="79">
        <f>+E16</f>
        <v>0</v>
      </c>
      <c r="G57" s="100" t="str">
        <f t="shared" si="3"/>
        <v/>
      </c>
      <c r="H57" s="79">
        <f>+E17</f>
        <v>0</v>
      </c>
      <c r="I57" s="86"/>
      <c r="J57" s="18"/>
    </row>
    <row r="58" spans="1:10" s="66" customFormat="1" ht="30.65" customHeight="1" x14ac:dyDescent="0.35">
      <c r="A58" s="18"/>
      <c r="B58" s="216" t="s">
        <v>98</v>
      </c>
      <c r="C58" s="216"/>
      <c r="D58" s="216"/>
      <c r="E58" s="216"/>
      <c r="F58" s="216"/>
      <c r="G58" s="216"/>
      <c r="H58" s="236" t="str">
        <f>IFERROR(1-(H56/F56),"")</f>
        <v/>
      </c>
      <c r="I58" s="236"/>
      <c r="J58" s="18"/>
    </row>
    <row r="59" spans="1:10" s="31" customFormat="1" ht="14.5" hidden="1" customHeight="1" x14ac:dyDescent="0.35">
      <c r="A59" s="1"/>
      <c r="B59" s="255" t="str">
        <f>IF(H58&lt;30%,"Nem támogatható a projekt!","")</f>
        <v/>
      </c>
      <c r="C59" s="255"/>
      <c r="D59" s="255"/>
      <c r="E59" s="255"/>
      <c r="F59" s="255"/>
      <c r="G59" s="255"/>
      <c r="H59" s="255"/>
      <c r="I59" s="255"/>
      <c r="J59" s="1"/>
    </row>
    <row r="60" spans="1:10" s="31" customFormat="1" ht="32.25" customHeight="1" x14ac:dyDescent="0.35">
      <c r="A60" s="1"/>
      <c r="B60" s="254" t="str">
        <f>IF(H58&lt;0.3,"Az energiahatékonysági fejlesztések által elért primerenergia-felhasználás  csökkenése nem éri el a Felhívásban meghatározott 30%-ot, ezért a Projekt nem támogatható!","")</f>
        <v/>
      </c>
      <c r="C60" s="254"/>
      <c r="D60" s="254"/>
      <c r="E60" s="254"/>
      <c r="F60" s="254"/>
      <c r="G60" s="254"/>
      <c r="H60" s="254"/>
      <c r="I60" s="254"/>
      <c r="J60" s="1"/>
    </row>
    <row r="61" spans="1:10" s="31" customFormat="1" ht="23.25" customHeight="1" x14ac:dyDescent="0.35">
      <c r="A61" s="220" t="s">
        <v>6</v>
      </c>
      <c r="B61" s="220"/>
      <c r="C61" s="221"/>
      <c r="D61" s="221"/>
      <c r="E61" s="221"/>
      <c r="F61" s="1"/>
      <c r="G61" s="1"/>
      <c r="H61" s="1"/>
      <c r="I61" s="1"/>
      <c r="J61" s="1"/>
    </row>
    <row r="62" spans="1:10" s="66" customFormat="1" ht="13" x14ac:dyDescent="0.35">
      <c r="A62" s="18"/>
      <c r="B62" s="18"/>
      <c r="C62" s="18"/>
      <c r="G62" s="222"/>
      <c r="H62" s="222"/>
      <c r="I62" s="222"/>
      <c r="J62" s="18"/>
    </row>
    <row r="63" spans="1:10" s="66" customFormat="1" ht="13" x14ac:dyDescent="0.3">
      <c r="A63" s="18"/>
      <c r="B63" s="18"/>
      <c r="C63" s="18"/>
      <c r="D63" s="18"/>
      <c r="E63" s="18"/>
      <c r="F63" s="18"/>
      <c r="G63" s="223" t="str">
        <f>B40</f>
        <v/>
      </c>
      <c r="H63" s="223"/>
      <c r="I63" s="223"/>
      <c r="J63" s="58"/>
    </row>
    <row r="64" spans="1:10" s="66" customFormat="1" ht="13" x14ac:dyDescent="0.35">
      <c r="A64" s="18"/>
      <c r="B64" s="18"/>
      <c r="C64" s="18"/>
      <c r="D64" s="18"/>
      <c r="E64" s="18"/>
      <c r="F64" s="18"/>
      <c r="G64" s="190" t="s">
        <v>54</v>
      </c>
      <c r="H64" s="190"/>
      <c r="I64" s="190"/>
      <c r="J64" s="57"/>
    </row>
    <row r="65" spans="1:10" s="66" customFormat="1" ht="13" x14ac:dyDescent="0.35">
      <c r="A65" s="18"/>
      <c r="B65" s="186" t="s">
        <v>0</v>
      </c>
      <c r="C65" s="186"/>
      <c r="D65" s="28"/>
      <c r="E65" s="28"/>
      <c r="F65" s="28"/>
      <c r="G65" s="18"/>
      <c r="H65" s="18"/>
      <c r="I65" s="28"/>
      <c r="J65" s="18"/>
    </row>
    <row r="66" spans="1:10" s="66" customFormat="1" ht="15" customHeight="1" x14ac:dyDescent="0.35">
      <c r="A66" s="18"/>
      <c r="B66" s="57"/>
      <c r="C66" s="218" t="str">
        <f>IF(ISBLANK(F8),"",F8)</f>
        <v/>
      </c>
      <c r="D66" s="218"/>
      <c r="E66" s="218"/>
      <c r="F66" s="186" t="s">
        <v>22</v>
      </c>
      <c r="G66" s="186"/>
      <c r="H66" s="186"/>
      <c r="I66" s="186"/>
      <c r="J66" s="18"/>
    </row>
    <row r="67" spans="1:10" s="66" customFormat="1" ht="34.5" customHeight="1" x14ac:dyDescent="0.35">
      <c r="A67" s="18"/>
      <c r="B67" s="173" t="s">
        <v>12</v>
      </c>
      <c r="C67" s="173"/>
      <c r="D67" s="173"/>
      <c r="E67" s="173"/>
      <c r="F67" s="173"/>
      <c r="G67" s="173"/>
      <c r="H67" s="173"/>
      <c r="I67" s="173"/>
      <c r="J67" s="18"/>
    </row>
    <row r="68" spans="1:10" s="66" customFormat="1" ht="23.25" customHeight="1" x14ac:dyDescent="0.35">
      <c r="A68" s="190" t="s">
        <v>6</v>
      </c>
      <c r="B68" s="190"/>
      <c r="C68" s="219"/>
      <c r="D68" s="219"/>
      <c r="E68" s="219"/>
      <c r="F68" s="18"/>
      <c r="G68" s="18"/>
      <c r="H68" s="18"/>
      <c r="I68" s="18"/>
      <c r="J68" s="18"/>
    </row>
    <row r="69" spans="1:10" s="66" customFormat="1" ht="13" x14ac:dyDescent="0.35">
      <c r="A69" s="18"/>
      <c r="B69" s="18"/>
      <c r="C69" s="18"/>
      <c r="D69" s="18"/>
      <c r="E69" s="18"/>
      <c r="F69" s="18"/>
      <c r="G69" s="222"/>
      <c r="H69" s="222"/>
      <c r="I69" s="222"/>
      <c r="J69" s="18"/>
    </row>
    <row r="70" spans="1:10" s="66" customFormat="1" ht="16.5" customHeight="1" x14ac:dyDescent="0.35">
      <c r="A70" s="18"/>
      <c r="B70" s="18"/>
      <c r="C70" s="84"/>
      <c r="D70" s="84"/>
      <c r="E70" s="84"/>
      <c r="F70" s="84"/>
      <c r="G70" s="217" t="str">
        <f>+IF(ISBLANK(F8),"",F8)</f>
        <v/>
      </c>
      <c r="H70" s="217"/>
      <c r="I70" s="217"/>
      <c r="J70" s="18"/>
    </row>
    <row r="71" spans="1:10" s="66" customFormat="1" ht="13" customHeight="1" x14ac:dyDescent="0.35">
      <c r="A71" s="18"/>
      <c r="B71" s="18"/>
      <c r="C71" s="84"/>
      <c r="D71" s="84"/>
      <c r="E71" s="84"/>
      <c r="F71" s="84"/>
      <c r="G71" s="190" t="s">
        <v>23</v>
      </c>
      <c r="H71" s="190"/>
      <c r="I71" s="190"/>
      <c r="J71" s="18"/>
    </row>
    <row r="72" spans="1:10" s="66" customFormat="1" ht="13" x14ac:dyDescent="0.35">
      <c r="B72" s="259" t="s">
        <v>34</v>
      </c>
      <c r="C72" s="259"/>
      <c r="D72" s="259"/>
      <c r="E72" s="259"/>
      <c r="F72" s="259"/>
      <c r="G72" s="259"/>
      <c r="H72" s="259"/>
      <c r="I72" s="259"/>
    </row>
    <row r="73" spans="1:10" s="66" customFormat="1" ht="13" x14ac:dyDescent="0.35">
      <c r="D73" s="214"/>
      <c r="E73" s="214"/>
      <c r="G73" s="214"/>
      <c r="H73" s="214"/>
    </row>
    <row r="74" spans="1:10" s="66" customFormat="1" ht="13" x14ac:dyDescent="0.35">
      <c r="D74" s="87"/>
      <c r="E74" s="87"/>
      <c r="G74" s="87"/>
      <c r="H74" s="87"/>
    </row>
    <row r="75" spans="1:10" s="66" customFormat="1" ht="13" x14ac:dyDescent="0.35">
      <c r="D75" s="213" t="s">
        <v>31</v>
      </c>
      <c r="E75" s="213"/>
      <c r="G75" s="213" t="s">
        <v>31</v>
      </c>
      <c r="H75" s="213"/>
    </row>
    <row r="76" spans="1:10" s="66" customFormat="1" ht="19" customHeight="1" x14ac:dyDescent="0.35">
      <c r="D76" s="154"/>
      <c r="E76" s="154"/>
      <c r="G76" s="154"/>
      <c r="H76" s="154"/>
    </row>
    <row r="77" spans="1:10" s="66" customFormat="1" ht="13" customHeight="1" x14ac:dyDescent="0.35">
      <c r="D77" s="213" t="s">
        <v>32</v>
      </c>
      <c r="E77" s="213"/>
      <c r="G77" s="213" t="s">
        <v>32</v>
      </c>
      <c r="H77" s="213"/>
    </row>
    <row r="78" spans="1:10" s="66" customFormat="1" ht="27.65" customHeight="1" x14ac:dyDescent="0.35">
      <c r="D78" s="154"/>
      <c r="E78" s="154"/>
      <c r="F78" s="116"/>
      <c r="G78" s="154"/>
      <c r="H78" s="154"/>
    </row>
    <row r="79" spans="1:10" s="66" customFormat="1" ht="13" x14ac:dyDescent="0.35">
      <c r="D79" s="213" t="s">
        <v>33</v>
      </c>
      <c r="E79" s="213"/>
      <c r="G79" s="213" t="s">
        <v>33</v>
      </c>
      <c r="H79" s="213"/>
    </row>
    <row r="80" spans="1:10" s="25" customFormat="1" ht="14.5" hidden="1" customHeight="1" x14ac:dyDescent="0.35">
      <c r="A80" s="6"/>
      <c r="B80" s="6"/>
      <c r="C80" s="6"/>
      <c r="D80" s="212"/>
      <c r="E80" s="212"/>
      <c r="F80" s="6"/>
      <c r="G80" s="212"/>
      <c r="H80" s="212"/>
      <c r="I80" s="6"/>
      <c r="J80" s="6"/>
    </row>
    <row r="81" spans="1:10" s="25" customFormat="1" ht="14.5" hidden="1" customHeight="1" x14ac:dyDescent="0.35">
      <c r="A81" s="6"/>
      <c r="B81" s="6"/>
      <c r="C81" s="6"/>
      <c r="D81" s="212"/>
      <c r="E81" s="212"/>
      <c r="F81" s="6"/>
      <c r="G81" s="212"/>
      <c r="H81" s="212"/>
      <c r="I81" s="6"/>
      <c r="J81" s="6"/>
    </row>
  </sheetData>
  <sheetProtection algorithmName="SHA-512" hashValue="7oeowOGNW93KO5wATY7Kmjv5KkOLgmHcVldVUG4ss8s41iZsKgPZ0rASVHcl7Ot/fSSr59RmNbxv7YbojapsAA==" saltValue="DJ/oESOqpRFzuApprBqxqg==" spinCount="100000" sheet="1" selectLockedCells="1"/>
  <customSheetViews>
    <customSheetView guid="{396A034F-45B2-4D1D-91F6-7C5931F382F0}" showGridLines="0" hiddenRows="1" hiddenColumns="1" topLeftCell="A38">
      <selection activeCell="C62" sqref="C62:E62"/>
      <pageMargins left="0.31496062992125984" right="0.31496062992125984" top="0.74803149606299213" bottom="0.35433070866141736" header="0.31496062992125984" footer="0.31496062992125984"/>
      <printOptions horizontalCentered="1"/>
      <pageSetup paperSize="9" scale="95" fitToHeight="0" orientation="portrait" r:id="rId1"/>
      <headerFooter>
        <oddHeader>&amp;LMFB Zrt.&amp;C&amp;9RRF-REP-10.13.1-24 OTTHONFELÚJÍTÁSI HITELPROGRAM - &amp;A&amp;R&amp;P.oldal</oddHeader>
      </headerFooter>
    </customSheetView>
  </customSheetViews>
  <mergeCells count="122">
    <mergeCell ref="B13:I13"/>
    <mergeCell ref="G81:H81"/>
    <mergeCell ref="G80:H80"/>
    <mergeCell ref="G79:H79"/>
    <mergeCell ref="G78:H78"/>
    <mergeCell ref="G77:H77"/>
    <mergeCell ref="G76:H76"/>
    <mergeCell ref="G75:H75"/>
    <mergeCell ref="G73:H73"/>
    <mergeCell ref="B60:I60"/>
    <mergeCell ref="B59:I59"/>
    <mergeCell ref="B38:I38"/>
    <mergeCell ref="G36:H36"/>
    <mergeCell ref="G35:H35"/>
    <mergeCell ref="G34:H34"/>
    <mergeCell ref="G33:H33"/>
    <mergeCell ref="G32:H32"/>
    <mergeCell ref="G31:H31"/>
    <mergeCell ref="G29:H29"/>
    <mergeCell ref="G28:H28"/>
    <mergeCell ref="G24:H24"/>
    <mergeCell ref="B14:I14"/>
    <mergeCell ref="B72:I72"/>
    <mergeCell ref="B15:D15"/>
    <mergeCell ref="B16:D16"/>
    <mergeCell ref="B17:D17"/>
    <mergeCell ref="B5:D6"/>
    <mergeCell ref="B39:I39"/>
    <mergeCell ref="B40:D40"/>
    <mergeCell ref="H40:I40"/>
    <mergeCell ref="G69:I69"/>
    <mergeCell ref="B49:D49"/>
    <mergeCell ref="H58:I58"/>
    <mergeCell ref="F40:G40"/>
    <mergeCell ref="C41:I41"/>
    <mergeCell ref="C42:H42"/>
    <mergeCell ref="C43:H43"/>
    <mergeCell ref="C44:H44"/>
    <mergeCell ref="B50:D50"/>
    <mergeCell ref="B51:D51"/>
    <mergeCell ref="C45:H45"/>
    <mergeCell ref="B46:I46"/>
    <mergeCell ref="B47:I47"/>
    <mergeCell ref="B52:D52"/>
    <mergeCell ref="B53:D53"/>
    <mergeCell ref="B54:D54"/>
    <mergeCell ref="B11:E12"/>
    <mergeCell ref="B55:D55"/>
    <mergeCell ref="D81:E81"/>
    <mergeCell ref="D77:E77"/>
    <mergeCell ref="D79:E79"/>
    <mergeCell ref="D80:E80"/>
    <mergeCell ref="D73:E73"/>
    <mergeCell ref="D75:E75"/>
    <mergeCell ref="D76:E76"/>
    <mergeCell ref="D78:E78"/>
    <mergeCell ref="B56:D56"/>
    <mergeCell ref="B57:D57"/>
    <mergeCell ref="B58:G58"/>
    <mergeCell ref="G70:I70"/>
    <mergeCell ref="G71:I71"/>
    <mergeCell ref="B65:C65"/>
    <mergeCell ref="C66:E66"/>
    <mergeCell ref="F66:I66"/>
    <mergeCell ref="A68:B68"/>
    <mergeCell ref="C68:E68"/>
    <mergeCell ref="B67:I67"/>
    <mergeCell ref="A61:B61"/>
    <mergeCell ref="C61:E61"/>
    <mergeCell ref="G62:I62"/>
    <mergeCell ref="G63:I63"/>
    <mergeCell ref="G64:I64"/>
    <mergeCell ref="B48:D48"/>
    <mergeCell ref="B28:D28"/>
    <mergeCell ref="E28:F28"/>
    <mergeCell ref="B29:D29"/>
    <mergeCell ref="E29:F29"/>
    <mergeCell ref="B31:D31"/>
    <mergeCell ref="E31:F31"/>
    <mergeCell ref="E30:F30"/>
    <mergeCell ref="G30:H30"/>
    <mergeCell ref="G26:H26"/>
    <mergeCell ref="E27:F27"/>
    <mergeCell ref="G27:H27"/>
    <mergeCell ref="B25:C27"/>
    <mergeCell ref="E25:F25"/>
    <mergeCell ref="G25:H25"/>
    <mergeCell ref="E26:F26"/>
    <mergeCell ref="B36:D36"/>
    <mergeCell ref="E36:F36"/>
    <mergeCell ref="B34:D34"/>
    <mergeCell ref="E34:F34"/>
    <mergeCell ref="B35:D35"/>
    <mergeCell ref="E35:F35"/>
    <mergeCell ref="B32:C33"/>
    <mergeCell ref="E32:F32"/>
    <mergeCell ref="E33:F33"/>
    <mergeCell ref="B30:D30"/>
    <mergeCell ref="B19:I19"/>
    <mergeCell ref="B20:D21"/>
    <mergeCell ref="E20:H20"/>
    <mergeCell ref="I20:I21"/>
    <mergeCell ref="E21:F21"/>
    <mergeCell ref="G21:H21"/>
    <mergeCell ref="B22:C24"/>
    <mergeCell ref="E22:F22"/>
    <mergeCell ref="G22:H22"/>
    <mergeCell ref="E23:F23"/>
    <mergeCell ref="G23:H23"/>
    <mergeCell ref="E24:F24"/>
    <mergeCell ref="B7:E7"/>
    <mergeCell ref="B1:I1"/>
    <mergeCell ref="B2:I2"/>
    <mergeCell ref="B3:H3"/>
    <mergeCell ref="B8:E8"/>
    <mergeCell ref="B9:E9"/>
    <mergeCell ref="B4:I4"/>
    <mergeCell ref="F5:I5"/>
    <mergeCell ref="F6:I6"/>
    <mergeCell ref="F7:I7"/>
    <mergeCell ref="F8:I8"/>
    <mergeCell ref="F9:I9"/>
  </mergeCells>
  <conditionalFormatting sqref="B22 B25 B28:B32 B34:B36">
    <cfRule type="expression" dxfId="21" priority="62">
      <formula>COUNTA(B22)=1</formula>
    </cfRule>
  </conditionalFormatting>
  <conditionalFormatting sqref="B25 B28:B32 B34:B36 I22:I36 D25:D27">
    <cfRule type="containsBlanks" dxfId="20" priority="63">
      <formula>LEN(TRIM(B22))=0</formula>
    </cfRule>
  </conditionalFormatting>
  <conditionalFormatting sqref="B40 F40:G40">
    <cfRule type="cellIs" dxfId="19" priority="55" operator="equal">
      <formula>0</formula>
    </cfRule>
  </conditionalFormatting>
  <conditionalFormatting sqref="D76:E76">
    <cfRule type="containsBlanks" dxfId="18" priority="68">
      <formula>LEN(TRIM(D76))=0</formula>
    </cfRule>
  </conditionalFormatting>
  <conditionalFormatting sqref="D78:E78">
    <cfRule type="containsBlanks" dxfId="17" priority="27">
      <formula>LEN(TRIM(D78))=0</formula>
    </cfRule>
  </conditionalFormatting>
  <conditionalFormatting sqref="E16:E17">
    <cfRule type="notContainsBlanks" dxfId="16" priority="21">
      <formula>LEN(TRIM(E16))&gt;0</formula>
    </cfRule>
  </conditionalFormatting>
  <conditionalFormatting sqref="E49">
    <cfRule type="containsBlanks" dxfId="15" priority="30">
      <formula>LEN(TRIM(E49))=0</formula>
    </cfRule>
  </conditionalFormatting>
  <conditionalFormatting sqref="E22:H29 E31:H35 B40">
    <cfRule type="containsBlanks" dxfId="14" priority="67">
      <formula>LEN(TRIM(B22))=0</formula>
    </cfRule>
  </conditionalFormatting>
  <conditionalFormatting sqref="F57">
    <cfRule type="cellIs" dxfId="13" priority="11" operator="equal">
      <formula>0</formula>
    </cfRule>
  </conditionalFormatting>
  <conditionalFormatting sqref="F16:G17">
    <cfRule type="cellIs" dxfId="12" priority="3" operator="equal">
      <formula>0</formula>
    </cfRule>
  </conditionalFormatting>
  <conditionalFormatting sqref="F40:G40">
    <cfRule type="containsBlanks" dxfId="11" priority="24">
      <formula>LEN(TRIM(F40))=0</formula>
    </cfRule>
  </conditionalFormatting>
  <conditionalFormatting sqref="F5:I7">
    <cfRule type="containsBlanks" dxfId="10" priority="38">
      <formula>LEN(TRIM(F5))=0</formula>
    </cfRule>
  </conditionalFormatting>
  <conditionalFormatting sqref="F12:I12">
    <cfRule type="containsBlanks" dxfId="9" priority="2">
      <formula>LEN(TRIM(F12))=0</formula>
    </cfRule>
  </conditionalFormatting>
  <conditionalFormatting sqref="G49">
    <cfRule type="containsBlanks" dxfId="8" priority="1">
      <formula>LEN(TRIM(G49))=0</formula>
    </cfRule>
  </conditionalFormatting>
  <conditionalFormatting sqref="G76:H76">
    <cfRule type="containsBlanks" dxfId="7" priority="28">
      <formula>LEN(TRIM(G76))=0</formula>
    </cfRule>
  </conditionalFormatting>
  <conditionalFormatting sqref="G78:H78">
    <cfRule type="containsBlanks" dxfId="6" priority="26">
      <formula>LEN(TRIM(G78))=0</formula>
    </cfRule>
  </conditionalFormatting>
  <conditionalFormatting sqref="G63:I63">
    <cfRule type="cellIs" dxfId="5" priority="53" operator="equal">
      <formula>0</formula>
    </cfRule>
  </conditionalFormatting>
  <conditionalFormatting sqref="H16:H17">
    <cfRule type="cellIs" dxfId="4" priority="6" operator="equal">
      <formula>0</formula>
    </cfRule>
  </conditionalFormatting>
  <conditionalFormatting sqref="H57">
    <cfRule type="cellIs" dxfId="3" priority="49" operator="equal">
      <formula>0</formula>
    </cfRule>
  </conditionalFormatting>
  <conditionalFormatting sqref="H16:I17">
    <cfRule type="cellIs" dxfId="2" priority="8" operator="equal">
      <formula>0</formula>
    </cfRule>
  </conditionalFormatting>
  <conditionalFormatting sqref="I42:I45">
    <cfRule type="cellIs" dxfId="1" priority="22" operator="equal">
      <formula>"Nem"</formula>
    </cfRule>
    <cfRule type="containsBlanks" dxfId="0" priority="23">
      <formula>LEN(TRIM(I42))=0</formula>
    </cfRule>
  </conditionalFormatting>
  <dataValidations xWindow="549" yWindow="463" count="7">
    <dataValidation allowBlank="1" showErrorMessage="1" prompt="Energetikai tanúsítványt és számításokat végző természetes személy josoltsági száma, mely alapján tanúsítás elkészítésére jogosult." sqref="F6:F7" xr:uid="{00000000-0002-0000-0900-000000000000}"/>
    <dataValidation allowBlank="1" showErrorMessage="1" prompt="Energetikai tanúsítványt és számításokat végző természetes személy teljes neve." sqref="F5" xr:uid="{00000000-0002-0000-0900-000001000000}"/>
    <dataValidation allowBlank="1" showErrorMessage="1" prompt="A hitelkérelemben megadott adatokkal összhangban szükséges megadni." sqref="B34:B36 H15 B22 B25 E22:E36 I22:I36 B28:B32 G21:G36" xr:uid="{00000000-0002-0000-0900-000003000000}"/>
    <dataValidation allowBlank="1" showInputMessage="1" showErrorMessage="1" prompt="Helység és dátum megadása." sqref="C61 C68" xr:uid="{00000000-0002-0000-0900-000005000000}"/>
    <dataValidation type="list" allowBlank="1" showInputMessage="1" showErrorMessage="1" prompt="Kérem válasszon a legördülő listából." sqref="I42:I45" xr:uid="{00000000-0002-0000-0900-000006000000}">
      <formula1>"Igen,Nem"</formula1>
    </dataValidation>
    <dataValidation allowBlank="1" showErrorMessage="1" sqref="F8:I9" xr:uid="{137E9402-8CB2-4D83-ACE0-397138D7C981}"/>
    <dataValidation type="list" allowBlank="1" showInputMessage="1" showErrorMessage="1" sqref="F12:I12" xr:uid="{ED63B5B2-43F0-46B3-980C-E89202013990}">
      <formula1>"Igen,Nem"</formula1>
    </dataValidation>
  </dataValidations>
  <printOptions horizontalCentered="1"/>
  <pageMargins left="0.31496062992125984" right="0.31496062992125984" top="0.55118110236220474" bottom="0.35433070866141736" header="0.31496062992125984" footer="0.31496062992125984"/>
  <pageSetup paperSize="9" scale="85" fitToHeight="0" orientation="portrait" r:id="rId2"/>
  <headerFooter>
    <oddHeader>&amp;LMFB Zrt.&amp;C&amp;9KEHOP Plusz-4.1.7-24 OTTHONFELÚJÍTÁSI HITELPROGRAM - &amp;A&amp;R&amp;P.oldal</oddHeader>
  </headerFooter>
  <rowBreaks count="1" manualBreakCount="1">
    <brk id="37" max="16383" man="1"/>
  </rowBreaks>
  <ignoredErrors>
    <ignoredError sqref="I36 F40 B40 F8:I9 C66" unlockedFormula="1"/>
    <ignoredError sqref="F50:F52 F53:F55 I30 G53 F56:F57" formula="1"/>
  </ignoredErrors>
  <drawing r:id="rId3"/>
  <extLst>
    <ext xmlns:x14="http://schemas.microsoft.com/office/spreadsheetml/2009/9/main" uri="{CCE6A557-97BC-4b89-ADB6-D9C93CAAB3DF}">
      <x14:dataValidations xmlns:xm="http://schemas.microsoft.com/office/excel/2006/main" xWindow="549" yWindow="463" count="1">
        <x14:dataValidation type="list" allowBlank="1" showInputMessage="1" showErrorMessage="1" errorTitle="Hibás energetikai besorolás" error="Hibás energetikai besorolás" xr:uid="{00000000-0002-0000-0900-000007000000}">
          <x14:formula1>
            <xm:f>érv!$B$1:$B$12</xm:f>
          </x14:formula1>
          <xm:sqref>E16:E17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8599379-820f-4d6f-8b8f-da25f722557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8ECE92DA74C3EC459D361EADCA68228F" ma:contentTypeVersion="15" ma:contentTypeDescription="Új dokumentum létrehozása." ma:contentTypeScope="" ma:versionID="4f6d182eff8f6ae6d8ff52b140d76995">
  <xsd:schema xmlns:xsd="http://www.w3.org/2001/XMLSchema" xmlns:xs="http://www.w3.org/2001/XMLSchema" xmlns:p="http://schemas.microsoft.com/office/2006/metadata/properties" xmlns:ns3="6d4eb523-ce65-4365-969c-2d6b542b956c" xmlns:ns4="28599379-820f-4d6f-8b8f-da25f722557d" targetNamespace="http://schemas.microsoft.com/office/2006/metadata/properties" ma:root="true" ma:fieldsID="3eab50979a0257aebb907ace67f4de56" ns3:_="" ns4:_="">
    <xsd:import namespace="6d4eb523-ce65-4365-969c-2d6b542b956c"/>
    <xsd:import namespace="28599379-820f-4d6f-8b8f-da25f722557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DateTaken" minOccurs="0"/>
                <xsd:element ref="ns4:MediaServiceObjectDetectorVersions" minOccurs="0"/>
                <xsd:element ref="ns4:MediaServiceSystemTags" minOccurs="0"/>
                <xsd:element ref="ns4:MediaLengthInSecond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4eb523-ce65-4365-969c-2d6b542b956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Megosztási tipp kivonata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599379-820f-4d6f-8b8f-da25f72255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F87AE3-081B-451E-B231-8F92C8B7694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6DDB82-6EC7-41EB-B0CF-CE2CC6189281}">
  <ds:schemaRefs>
    <ds:schemaRef ds:uri="http://schemas.microsoft.com/office/2006/metadata/properties"/>
    <ds:schemaRef ds:uri="http://schemas.microsoft.com/office/2006/documentManagement/types"/>
    <ds:schemaRef ds:uri="6d4eb523-ce65-4365-969c-2d6b542b956c"/>
    <ds:schemaRef ds:uri="http://purl.org/dc/terms/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infopath/2007/PartnerControls"/>
    <ds:schemaRef ds:uri="28599379-820f-4d6f-8b8f-da25f722557d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595085E-D02E-4346-805B-8A680E8C5A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4eb523-ce65-4365-969c-2d6b542b956c"/>
    <ds:schemaRef ds:uri="28599379-820f-4d6f-8b8f-da25f72255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4</vt:i4>
      </vt:variant>
      <vt:variant>
        <vt:lpstr>Névvel ellátott tartományok</vt:lpstr>
      </vt:variant>
      <vt:variant>
        <vt:i4>3</vt:i4>
      </vt:variant>
    </vt:vector>
  </HeadingPairs>
  <TitlesOfParts>
    <vt:vector size="7" baseType="lpstr">
      <vt:lpstr>érv</vt:lpstr>
      <vt:lpstr>Kitöltési útmutató</vt:lpstr>
      <vt:lpstr>01_Energetikai nyilatkozat</vt:lpstr>
      <vt:lpstr>02_Záró energetikai nyilatkozat</vt:lpstr>
      <vt:lpstr>'01_Energetikai nyilatkozat'!Nyomtatási_terület</vt:lpstr>
      <vt:lpstr>'02_Záró energetikai nyilatkozat'!Nyomtatási_terület</vt:lpstr>
      <vt:lpstr>'Kitöltési útmutató'!Nyomtatási_terület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MFB Zrt.</dc:creator>
  <cp:lastModifiedBy>Fodor Hajnalka</cp:lastModifiedBy>
  <cp:lastPrinted>2025-04-09T09:26:08Z</cp:lastPrinted>
  <dcterms:created xsi:type="dcterms:W3CDTF">2016-12-19T05:49:20Z</dcterms:created>
  <dcterms:modified xsi:type="dcterms:W3CDTF">2025-10-09T11:29:06Z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0x0101008ECE92DA74C3EC459D361EADCA68228F</vt:lpwstr>
  </property>
</Properties>
</file>